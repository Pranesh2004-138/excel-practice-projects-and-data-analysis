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Module 7 - Demo Files\"/>
    </mc:Choice>
  </mc:AlternateContent>
  <xr:revisionPtr revIDLastSave="0" documentId="13_ncr:1_{F370AEEA-8107-495B-A7EE-DBA5DD4FC69F}" xr6:coauthVersionLast="47" xr6:coauthVersionMax="47" xr10:uidLastSave="{00000000-0000-0000-0000-000000000000}"/>
  <bookViews>
    <workbookView xWindow="-120" yWindow="-120" windowWidth="20730" windowHeight="11160" activeTab="1" xr2:uid="{BDCAEEFC-450E-458F-A14B-8B0CE69947B8}"/>
  </bookViews>
  <sheets>
    <sheet name="Sheet1" sheetId="1" r:id="rId1"/>
    <sheet name="Report" sheetId="2" r:id="rId2"/>
  </sheets>
  <calcPr calcId="191029"/>
  <pivotCaches>
    <pivotCache cacheId="6" r:id="rId3"/>
    <pivotCache cacheId="12" r:id="rId4"/>
    <pivotCache cacheId="27" r:id="rId5"/>
    <pivotCache cacheId="4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_a097d768-3c75-4dfb-af99-6bdfcc9014c7" name="fSales" connection="Query - fSales"/>
          <x15:modelTable id="dProducts_be3c8409-0f67-413a-8385-350aa2e6ad3c" name="dProducts" connection="Query - dProducts"/>
          <x15:modelTable id="dReps_9e0c18bf-bef1-4b34-bed3-75c5601132e0" name="dReps" connection="Query - dReps"/>
          <x15:modelTable id="dStores_ea059f96-390b-43e6-a4b6-406ee4f8058c" name="dStores" connection="Query - dStores"/>
          <x15:modelTable id="Calendar" name="Calendar" connection="Connection"/>
        </x15:modelTables>
        <x15:modelRelationships>
          <x15:modelRelationship fromTable="fSales" fromColumn="Product" toTable="dProducts" toColumn="Product ID"/>
          <x15:modelRelationship fromTable="fSales" fromColumn="SP ID" toTable="dReps" toColumn="ID"/>
          <x15:modelRelationship fromTable="fSales" fromColumn="Store" toTable="dStores" toColumn="Store ID"/>
          <x15:modelRelationship fromTable="fSales" fromColumn="Order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" i="2" l="1"/>
  <c r="I28" i="2"/>
  <c r="D1" i="1"/>
  <c r="D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A15DE-ACFD-4A6A-8A53-C0C9E60BD5F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61B23D7-4E79-4FA7-B954-DFBF0F683784}" keepAlive="1" name="Query - dCategories" description="Connection to the 'dCategories' query in the workbook." type="5" refreshedVersion="0" background="1">
    <dbPr connection="Provider=Microsoft.Mashup.OleDb.1;Data Source=$Workbook$;Location=dCategories;Extended Properties=&quot;&quot;" command="SELECT * FROM [dCategories]"/>
  </connection>
  <connection id="3" xr16:uid="{97B58AFA-2472-4375-83CE-93262EA94216}" keepAlive="1" name="Query - Discontinued" description="Connection to the 'Discontinued' query in the workbook." type="5" refreshedVersion="0" background="1">
    <dbPr connection="Provider=Microsoft.Mashup.OleDb.1;Data Source=$Workbook$;Location=Discontinued;Extended Properties=&quot;&quot;" command="SELECT * FROM [Discontinued]"/>
  </connection>
  <connection id="4" xr16:uid="{C68601C9-3996-46A4-961C-2A7DC810C9DD}" name="Query - dProducts" description="Connection to the 'dProducts' query in the workbook." type="100" refreshedVersion="6" minRefreshableVersion="5">
    <extLst>
      <ext xmlns:x15="http://schemas.microsoft.com/office/spreadsheetml/2010/11/main" uri="{DE250136-89BD-433C-8126-D09CA5730AF9}">
        <x15:connection id="d9f07544-2e5c-4c45-9253-34ba7bf071c5"/>
      </ext>
    </extLst>
  </connection>
  <connection id="5" xr16:uid="{0539DD50-07C3-4CA2-9693-E55651AE1DB0}" name="Query - dReps" description="Connection to the 'dReps' query in the workbook." type="100" refreshedVersion="6" minRefreshableVersion="5">
    <extLst>
      <ext xmlns:x15="http://schemas.microsoft.com/office/spreadsheetml/2010/11/main" uri="{DE250136-89BD-433C-8126-D09CA5730AF9}">
        <x15:connection id="84fe6ae3-5604-48eb-933b-361536588c26"/>
      </ext>
    </extLst>
  </connection>
  <connection id="6" xr16:uid="{8ABDD553-FBC1-4AF3-8E6D-F86986B2D3BB}" name="Query - dStores" description="Connection to the 'dStores' query in the workbook." type="100" refreshedVersion="6" minRefreshableVersion="5">
    <extLst>
      <ext xmlns:x15="http://schemas.microsoft.com/office/spreadsheetml/2010/11/main" uri="{DE250136-89BD-433C-8126-D09CA5730AF9}">
        <x15:connection id="42e6cc18-44f9-4b7d-9171-827a4f1b84cc"/>
      </ext>
    </extLst>
  </connection>
  <connection id="7" xr16:uid="{956A122B-B2F3-498C-B0E9-03AE01C7B809}" name="Query - fSales" description="Connection to the 'fSales' query in the workbook." type="100" refreshedVersion="6" minRefreshableVersion="5">
    <extLst>
      <ext xmlns:x15="http://schemas.microsoft.com/office/spreadsheetml/2010/11/main" uri="{DE250136-89BD-433C-8126-D09CA5730AF9}">
        <x15:connection id="acc10dbf-fdb6-4d5f-b1fc-a9b0aebe6929"/>
      </ext>
    </extLst>
  </connection>
  <connection id="8" xr16:uid="{04ED14F6-1781-4FA0-A726-BDE3DDC785E4}" keepAlive="1" name="Query - new-products" description="Connection to the 'new-products' query in the workbook." type="5" refreshedVersion="0" background="1">
    <dbPr connection="Provider=Microsoft.Mashup.OleDb.1;Data Source=$Workbook$;Location=new-products;Extended Properties=&quot;&quot;" command="SELECT * FROM [new-products]"/>
  </connection>
  <connection id="9" xr16:uid="{012A847C-6644-4190-B4A6-17CF8CC8043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0" xr16:uid="{C3EC924B-343B-47CB-8762-50E54694D7C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FC37F1D8-9F5A-42BA-994B-610BC46C62A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72F68FD0-C0BC-4D61-9DEA-F6D7E45047C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3" xr16:uid="{26253A53-2D66-4D59-8BE1-AC02265317A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<sst xmlns="http://schemas.openxmlformats.org/spreadsheetml/2006/main" count="34" uniqueCount="30">
  <si>
    <t>Row Labels</t>
  </si>
  <si>
    <t>East</t>
  </si>
  <si>
    <t>North East</t>
  </si>
  <si>
    <t>North West</t>
  </si>
  <si>
    <t>South</t>
  </si>
  <si>
    <t>West</t>
  </si>
  <si>
    <t>Grand Total</t>
  </si>
  <si>
    <t>Cheap</t>
  </si>
  <si>
    <t>Premium</t>
  </si>
  <si>
    <t>Standard</t>
  </si>
  <si>
    <t>NoOfSales</t>
  </si>
  <si>
    <t>TotalRevenue</t>
  </si>
  <si>
    <t>TotalRevWeekend</t>
  </si>
  <si>
    <t>TotalRev%Weekend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</si>
  <si>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</si>
  <si>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</si>
  <si>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</si>
  <si>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</si>
  <si>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</si>
  <si>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</si>
  <si>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</si>
  <si>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</si>
  <si>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</si>
  <si>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</si>
  <si>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</si>
  <si>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</si>
  <si>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Month%TotalRev</t>
  </si>
  <si>
    <t>TotalRevYTD</t>
  </si>
  <si>
    <t xml:space="preserve">Total Revanue at Weekend </t>
  </si>
  <si>
    <t xml:space="preserve">Total  % percentage of Revenue at Weekend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</si>
</sst>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£&quot;#,##0.00;\-&quot;£&quot;#,##0.00"/>
    <numFmt numFmtId="165" formatCode="0.0%;\-0.0%;0.0%"/>
    <numFmt numFmtId="167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 vertical="center"/>
    </xf>
    <xf numFmtId="0" fontId="1" fillId="0" borderId="0" xfId="0" applyFont="1"/>
    <xf numFmtId="1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79428A-0005-48E9-A793-760B51762F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[7-1-pivottables-and-pivotcharts.xlsx]Sheet1!PivotTable2</c:name>
    <c:fmtId val="3"/>
  </c:pivotSource>
  <c:chart>
    <c:title>
      <c:tx>
        <c:strRef>
          <c:f>Sheet1!$D$11</c:f>
          <c:strCache>
            <c:ptCount val="1"/>
            <c:pt idx="0">
              <c:v>Total No Fo Sales:9,020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Sheet1!$D$11</c:f>
              <c:strCache>
                <c:ptCount val="3"/>
                <c:pt idx="0">
                  <c:v>Cheap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Sheet1!$D$11</c:f>
              <c:numCache>
                <c:formatCode>#,##0</c:formatCode>
                <c:ptCount val="3"/>
                <c:pt idx="0">
                  <c:v>585</c:v>
                </c:pt>
                <c:pt idx="1">
                  <c:v>2255</c:v>
                </c:pt>
                <c:pt idx="2">
                  <c:v>6180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C-42ED-A527-806CC21FC0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49883984"/>
        <c:axId val="649908944"/>
      </c:barChart>
      <c:catAx>
        <c:axId val="64988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08944"/>
        <c:crosses val="autoZero"/>
        <c:auto val="1"/>
        <c:lblAlgn val="ctr"/>
        <c:lblOffset val="100"/>
        <c:noMultiLvlLbl val="0"/>
      </c:catAx>
      <c:valAx>
        <c:axId val="64990894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4988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[7-1-pivottables-and-pivotcharts.xlsx]Sheet1!PivotTable1</c:name>
    <c:fmtId val="2"/>
  </c:pivotSource>
  <c:chart>
    <c:title>
      <c:tx>
        <c:strRef>
          <c:f>Sheet1!$D$1</c:f>
          <c:strCache>
            <c:ptCount val="1"/>
            <c:pt idx="0">
              <c:v>Total Revenue:$5,52,788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</c:f>
              <c:strCache>
                <c:ptCount val="5"/>
                <c:pt idx="0">
                  <c:v>East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Sheet1!$D$1</c:f>
              <c:numCache>
                <c:formatCode>"£"#,##0.00;\-"£"#,##0.00</c:formatCode>
                <c:ptCount val="5"/>
                <c:pt idx="0">
                  <c:v>99635.300000000017</c:v>
                </c:pt>
                <c:pt idx="1">
                  <c:v>77593.299999999988</c:v>
                </c:pt>
                <c:pt idx="2">
                  <c:v>121206.20000000017</c:v>
                </c:pt>
                <c:pt idx="3">
                  <c:v>134391.09999999995</c:v>
                </c:pt>
                <c:pt idx="4">
                  <c:v>119962.20000000019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E-4A73-B105-7D33772ACF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49897904"/>
        <c:axId val="649898384"/>
      </c:barChart>
      <c:catAx>
        <c:axId val="64989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898384"/>
        <c:crosses val="autoZero"/>
        <c:auto val="1"/>
        <c:lblAlgn val="ctr"/>
        <c:lblOffset val="100"/>
        <c:noMultiLvlLbl val="0"/>
      </c:catAx>
      <c:valAx>
        <c:axId val="649898384"/>
        <c:scaling>
          <c:orientation val="minMax"/>
        </c:scaling>
        <c:delete val="1"/>
        <c:axPos val="l"/>
        <c:numFmt formatCode="&quot;£&quot;#,##0.00;\-&quot;£&quot;#,##0.00" sourceLinked="1"/>
        <c:majorTickMark val="none"/>
        <c:minorTickMark val="none"/>
        <c:tickLblPos val="nextTo"/>
        <c:crossAx val="64989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</xdr:colOff>
      <xdr:row>1</xdr:row>
      <xdr:rowOff>108857</xdr:rowOff>
    </xdr:from>
    <xdr:to>
      <xdr:col>4</xdr:col>
      <xdr:colOff>255814</xdr:colOff>
      <xdr:row>19</xdr:row>
      <xdr:rowOff>163966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94F22-B345-8449-B1D2-D5DE7ED1B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13607</xdr:colOff>
      <xdr:row>2</xdr:row>
      <xdr:rowOff>40821</xdr:rowOff>
    </xdr:from>
    <xdr:to>
      <xdr:col>15</xdr:col>
      <xdr:colOff>367393</xdr:colOff>
      <xdr:row>23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34E7B-3158-BAD9-D2D2-3D01D3163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5.869488425924" backgroundQuery="1" createdVersion="6" refreshedVersion="8" minRefreshableVersion="3" recordCount="0" supportSubquery="1" supportAdvancedDrill="1" xr:uid="{4CCD454E-CA04-41C7-AA9D-DB3624905A44}">
  <cacheSource type="external" connectionId="13"/>
  <cacheFields count="3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Month%TotalRev]" caption="Month%TotalRev" numFmtId="0" hierarchy="33" level="32767"/>
    <cacheField name="[Measures].[TotalRevYTD]" caption="TotalRevYTD" numFmtId="0" hierarchy="31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0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 oneField="1">
      <fieldsUsage count="1">
        <fieldUsage x="2"/>
      </fieldsUsage>
    </cacheHierarchy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 oneField="1">
      <fieldsUsage count="1">
        <fieldUsage x="1"/>
      </fieldsUsage>
    </cacheHierarchy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5.870803819445" backgroundQuery="1" createdVersion="6" refreshedVersion="8" minRefreshableVersion="3" recordCount="0" supportSubquery="1" supportAdvancedDrill="1" xr:uid="{65746348-4608-44EF-B635-693818EDC3D9}">
  <cacheSource type="external" connectionId="13"/>
  <cacheFields count="2">
    <cacheField name="[Measures].[NoOfSales]" caption="NoOfSales" numFmtId="0" hierarchy="27" level="32767"/>
    <cacheField name="[dProducts].[Value].[Value]" caption="Value" numFmtId="0" hierarchy="13" level="1">
      <sharedItems count="3">
        <s v="Cheap"/>
        <s v="Premium"/>
        <s v="Standard"/>
      </sharedItems>
    </cacheField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2" memberValueDatatype="130" unbalanced="0">
      <fieldsUsage count="2">
        <fieldUsage x="-1"/>
        <fieldUsage x="1"/>
      </fieldsUsage>
    </cacheHierarchy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 oneField="1">
      <fieldsUsage count="1">
        <fieldUsage x="0"/>
      </fieldsUsage>
    </cacheHierarchy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5.875887615737" backgroundQuery="1" createdVersion="6" refreshedVersion="8" minRefreshableVersion="3" recordCount="0" supportSubquery="1" supportAdvancedDrill="1" xr:uid="{41436390-871B-4578-91BB-DF4BBA6B9BFE}">
  <cacheSource type="external" connectionId="13"/>
  <cacheFields count="2">
    <cacheField name="[dStores].[Region].[Region]" caption="Region" numFmtId="0" hierarchy="17" level="1">
      <sharedItems count="5">
        <s v="East"/>
        <s v="North East"/>
        <s v="North West"/>
        <s v="South"/>
        <s v="West"/>
      </sharedItems>
    </cacheField>
    <cacheField name="[Measures].[TotalRevenue]" caption="TotalRevenue" numFmtId="0" hierarchy="28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0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2" memberValueDatatype="130" unbalanced="0">
      <fieldsUsage count="2">
        <fieldUsage x="-1"/>
        <fieldUsage x="0"/>
      </fieldsUsage>
    </cacheHierarchy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 oneField="1">
      <fieldsUsage count="1">
        <fieldUsage x="1"/>
      </fieldsUsage>
    </cacheHierarchy>
    <cacheHierarchy uniqueName="[Measures].[TotalRevWeekend]" caption="TotalRevWeekend" measure="1" displayFolder="" measureGroup="fSales" count="0"/>
    <cacheHierarchy uniqueName="[Measures].[TotalRev%Weekend]" caption="TotalRev%Weekend" measure="1" displayFolder="" measureGroup="fSales" count="0"/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5.878981365742" backgroundQuery="1" createdVersion="6" refreshedVersion="8" minRefreshableVersion="3" recordCount="0" supportSubquery="1" supportAdvancedDrill="1" xr:uid="{FEB55986-2830-45A3-80F7-A5F1A8C3EBDD}">
  <cacheSource type="external" connectionId="13"/>
  <cacheFields count="2">
    <cacheField name="[Measures].[TotalRevWeekend]" caption="TotalRevWeekend" numFmtId="0" hierarchy="29" level="32767"/>
    <cacheField name="[Measures].[TotalRev%Weekend]" caption="TotalRev%Weekend" numFmtId="0" hierarchy="30" level="32767"/>
  </cacheFields>
  <cacheHierarchies count="4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Weekend?]" caption="Weekend?" attribute="1" time="1" defaultMemberUniqueName="[Calendar].[Weekend?].[All]" allUniqueName="[Calendar].[Weekend?].[All]" dimensionUniqueName="[Calendar]" displayFolder="" count="0" memberValueDatatype="130" unbalanced="0"/>
    <cacheHierarchy uniqueName="[dProducts].[Product ID]" caption="Product ID" attribute="1" defaultMemberUniqueName="[dProducts].[Product ID].[All]" allUniqueName="[dProducts].[Product ID].[All]" dimensionUniqueName="[dProducts]" displayFolder="" count="0" memberValueDatatype="130" unbalanced="0"/>
    <cacheHierarchy uniqueName="[dProducts].[Product]" caption="Product" attribute="1" defaultMemberUniqueName="[dProducts].[Product].[All]" allUniqueName="[dProducts].[Product].[All]" dimensionUniqueName="[dProducts]" displayFolder="" count="0" memberValueDatatype="130" unbalanced="0"/>
    <cacheHierarchy uniqueName="[dProducts].[Price]" caption="Price" attribute="1" defaultMemberUniqueName="[dProducts].[Price].[All]" allUniqueName="[dProducts].[Price].[All]" dimensionUniqueName="[dProducts]" displayFolder="" count="0" memberValueDatatype="5" unbalanced="0"/>
    <cacheHierarchy uniqueName="[dProducts].[Category]" caption="Category" attribute="1" defaultMemberUniqueName="[dProducts].[Category].[All]" allUniqueName="[dProducts].[Category].[All]" dimensionUniqueName="[dProducts]" displayFolder="" count="0" memberValueDatatype="130" unbalanced="0"/>
    <cacheHierarchy uniqueName="[dProducts].[Value]" caption="Value" attribute="1" defaultMemberUniqueName="[dProducts].[Value].[All]" allUniqueName="[dProducts].[Value].[All]" dimensionUniqueName="[dProducts]" displayFolder="" count="2" memberValueDatatype="130" unbalanced="0"/>
    <cacheHierarchy uniqueName="[dReps].[Sales Rep]" caption="Sales Rep" attribute="1" defaultMemberUniqueName="[dReps].[Sales Rep].[All]" allUniqueName="[dReps].[Sales Rep].[All]" dimensionUniqueName="[dReps]" displayFolder="" count="0" memberValueDatatype="130" unbalanced="0"/>
    <cacheHierarchy uniqueName="[dStores].[Store ID]" caption="Store ID" attribute="1" defaultMemberUniqueName="[dStores].[Store ID].[All]" allUniqueName="[dStores].[Store ID].[All]" dimensionUniqueName="[dStores]" displayFolder="" count="0" memberValueDatatype="130" unbalanced="0"/>
    <cacheHierarchy uniqueName="[dStores].[Store]" caption="Store" attribute="1" defaultMemberUniqueName="[dStores].[Store].[All]" allUniqueName="[dStores].[Store].[All]" dimensionUniqueName="[dStores]" displayFolder="" count="0" memberValueDatatype="130" unbalanced="0"/>
    <cacheHierarchy uniqueName="[dStores].[Region]" caption="Region" attribute="1" defaultMemberUniqueName="[dStores].[Region].[All]" allUniqueName="[dStores].[Region].[All]" dimensionUniqueName="[dStores]" displayFolder="" count="0" memberValueDatatype="130" unbalanced="0"/>
    <cacheHierarchy uniqueName="[fSales].[Order ID]" caption="Order ID" attribute="1" defaultMemberUniqueName="[fSales].[Order ID].[All]" allUniqueName="[fSales].[Order ID].[All]" dimensionUniqueName="[fSales]" displayFolder="" count="0" memberValueDatatype="20" unbalanced="0"/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Units Sold]" caption="Units Sold" attribute="1" defaultMemberUniqueName="[fSales].[Units Sold].[All]" allUniqueName="[fSales].[Units Sold].[All]" dimensionUniqueName="[fSales]" displayFolder="" count="0" memberValueDatatype="20" unbalanced="0"/>
    <cacheHierarchy uniqueName="[dReps].[ID]" caption="ID" attribute="1" defaultMemberUniqueName="[dReps].[ID].[All]" allUniqueName="[dReps].[ID].[All]" dimensionUniqueName="[dReps]" displayFolder="" count="0" memberValueDatatype="130" unbalanced="0" hidden="1"/>
    <cacheHierarchy uniqueName="[fSales].[Product]" caption="Product" attribute="1" defaultMemberUniqueName="[fSales].[Product].[All]" allUniqueName="[fSales].[Product].[All]" dimensionUniqueName="[fSales]" displayFolder="" count="0" memberValueDatatype="130" unbalanced="0" hidden="1"/>
    <cacheHierarchy uniqueName="[fSales].[SP ID]" caption="SP ID" attribute="1" defaultMemberUniqueName="[fSales].[SP ID].[All]" allUniqueName="[fSales].[SP ID].[All]" dimensionUniqueName="[fSales]" displayFolder="" count="0" memberValueDatatype="130" unbalanced="0" hidden="1"/>
    <cacheHierarchy uniqueName="[fSales].[Store]" caption="Store" attribute="1" defaultMemberUniqueName="[fSales].[Store].[All]" allUniqueName="[fSales].[Store].[All]" dimensionUniqueName="[fSales]" displayFolder="" count="0" memberValueDatatype="20" unbalanced="0" hidden="1"/>
    <cacheHierarchy uniqueName="[Measures].[Sum of Units Sold]" caption="Sum of Units Sold" measure="1" displayFolder="" measureGroup="f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TotalUnits]" caption="TotalUnits" measure="1" displayFolder="" measureGroup="fSales" count="0"/>
    <cacheHierarchy uniqueName="[Measures].[NoOfSales]" caption="NoOfSales" measure="1" displayFolder="" measureGroup="fSales" count="0"/>
    <cacheHierarchy uniqueName="[Measures].[TotalRevenue]" caption="TotalRevenue" measure="1" displayFolder="" measureGroup="fSales" count="0"/>
    <cacheHierarchy uniqueName="[Measures].[TotalRevWeekend]" caption="TotalRevWeekend" measure="1" displayFolder="" measureGroup="fSales" count="0" oneField="1">
      <fieldsUsage count="1">
        <fieldUsage x="0"/>
      </fieldsUsage>
    </cacheHierarchy>
    <cacheHierarchy uniqueName="[Measures].[TotalRev%Weekend]" caption="TotalRev%Weekend" measure="1" displayFolder="" measureGroup="fSales" count="0" oneField="1">
      <fieldsUsage count="1">
        <fieldUsage x="1"/>
      </fieldsUsage>
    </cacheHierarchy>
    <cacheHierarchy uniqueName="[Measures].[TotalRevYTD]" caption="TotalRevYTD" measure="1" displayFolder="" measureGroup="fSales" count="0"/>
    <cacheHierarchy uniqueName="[Measures].[TotalRevAllMonths]" caption="TotalRevAllMonths" measure="1" displayFolder="" measureGroup="fSales" count="0"/>
    <cacheHierarchy uniqueName="[Measures].[Month%TotalRev]" caption="Month%TotalRev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Products]" caption="__XL_Count dProducts" measure="1" displayFolder="" measureGroup="dProducts" count="0" hidden="1"/>
    <cacheHierarchy uniqueName="[Measures].[__XL_Count dReps]" caption="__XL_Count dReps" measure="1" displayFolder="" measureGroup="dReps" count="0" hidden="1"/>
    <cacheHierarchy uniqueName="[Measures].[__XL_Count dStores]" caption="__XL_Count dStores" measure="1" displayFolder="" measureGroup="dStor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6">
    <dimension name="Calendar" uniqueName="[Calendar]" caption="Calendar"/>
    <dimension name="dProducts" uniqueName="[dProducts]" caption="dProducts"/>
    <dimension name="dReps" uniqueName="[dReps]" caption="dReps"/>
    <dimension name="dStores" uniqueName="[dStores]" caption="dStores"/>
    <dimension name="fSales" uniqueName="[fSales]" caption="fSales"/>
    <dimension measure="1" name="Measures" uniqueName="[Measures]" caption="Measures"/>
  </dimensions>
  <measureGroups count="5">
    <measureGroup name="Calendar" caption="Calendar"/>
    <measureGroup name="dProducts" caption="dProducts"/>
    <measureGroup name="dReps" caption="dReps"/>
    <measureGroup name="dStores" caption="dStores"/>
    <measureGroup name="fSales" caption="f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56CFC-5E21-47D9-9308-2D3DB4A09DE6}" name="PivotTable3" cacheId="40" applyNumberFormats="0" applyBorderFormats="0" applyFontFormats="0" applyPatternFormats="0" applyAlignmentFormats="0" applyWidthHeightFormats="1" dataCaption="Values" tag="8457d674-9bb2-4575-9297-06351c2d1bed" updatedVersion="8" minRefreshableVersion="3" useAutoFormatting="1" itemPrintTitles="1" createdVersion="6" indent="0" multipleFieldFilters="0" chartFormat="5">
  <location ref="G1:H2" firstHeaderRow="0" firstDataRow="1" firstDataCol="0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3F16D-07FD-40D8-888D-436DFC772B2F}" name="PivotTable1" cacheId="27" applyNumberFormats="0" applyBorderFormats="0" applyFontFormats="0" applyPatternFormats="0" applyAlignmentFormats="0" applyWidthHeightFormats="1" dataCaption="Values" tag="4a39c2e8-cd0d-40bc-9e31-6eae3e287a52" updatedVersion="8" minRefreshableVersion="3" useAutoFormatting="1" itemPrintTitles="1" createdVersion="6" indent="0" multipleFieldFilters="0" chartFormat="5">
  <location ref="A1:B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EB138-3F31-4D49-8679-2E1004992712}" name="PivotTable2" cacheId="12" applyNumberFormats="0" applyBorderFormats="0" applyFontFormats="0" applyPatternFormats="0" applyAlignmentFormats="0" applyWidthHeightFormats="1" dataCaption="Values" tag="8457d674-9bb2-4575-9297-06351c2d1bed" updatedVersion="8" minRefreshableVersion="3" useAutoFormatting="1" itemPrintTitles="1" createdVersion="6" indent="0" multipleFieldFilters="0" chartFormat="5">
  <location ref="A11:B15" firstHeaderRow="1" firstDataRow="1" firstDataCol="1"/>
  <pivotFields count="2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howAll="0" dataSourceSort="1" defaultAttributeDrillState="1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C53A9-8CB9-456E-AC81-4A9793601D5A}" name="PivotTable3" cacheId="6" applyNumberFormats="0" applyBorderFormats="0" applyFontFormats="0" applyPatternFormats="0" applyAlignmentFormats="0" applyWidthHeightFormats="1" dataCaption="Values" tag="03879189-b2b8-4f38-89f7-7e8e2f3fa3c7" updatedVersion="8" minRefreshableVersion="3" useAutoFormatting="1" itemPrintTitles="1" createdVersion="6" indent="0" multipleFieldFilters="0">
  <location ref="A21:C34" firstHeaderRow="0" firstDataRow="1" firstDataCol="1"/>
  <pivotFields count="3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4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Stores]"/>
        <x15:activeTabTopLevelEntity name="[fSales]"/>
        <x15:activeTabTopLevelEntity name="[d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A86F-D1C9-4437-95F2-9512A2D9BADE}">
  <dimension ref="A1:H15"/>
  <sheetViews>
    <sheetView workbookViewId="0">
      <selection activeCell="H12" sqref="H12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5" width="18.28515625" bestFit="1" customWidth="1"/>
    <col min="6" max="6" width="4.140625" bestFit="1" customWidth="1"/>
    <col min="7" max="7" width="17.7109375" bestFit="1" customWidth="1"/>
    <col min="8" max="8" width="19.28515625" bestFit="1" customWidth="1"/>
    <col min="9" max="9" width="10.140625" bestFit="1" customWidth="1"/>
    <col min="10" max="10" width="11.140625" bestFit="1" customWidth="1"/>
    <col min="11" max="11" width="15.140625" bestFit="1" customWidth="1"/>
    <col min="12" max="12" width="15.28515625" bestFit="1" customWidth="1"/>
    <col min="13" max="13" width="18.42578125" bestFit="1" customWidth="1"/>
  </cols>
  <sheetData>
    <row r="1" spans="1:8" x14ac:dyDescent="0.25">
      <c r="A1" s="1" t="s">
        <v>0</v>
      </c>
      <c r="B1" t="s">
        <v>11</v>
      </c>
      <c r="D1" t="str">
        <f>"Total Revenue:" &amp;TEXT(GETPIVOTDATA("[Measures].[TotalRevenue]",$A$1),"$#,#")</f>
        <v>Total Revenue:$5,52,788</v>
      </c>
      <c r="G1" t="s">
        <v>12</v>
      </c>
      <c r="H1" t="s">
        <v>13</v>
      </c>
    </row>
    <row r="2" spans="1:8" x14ac:dyDescent="0.25">
      <c r="A2" s="2" t="s">
        <v>1</v>
      </c>
      <c r="B2" s="4">
        <v>99635.300000000017</v>
      </c>
      <c r="G2" s="4">
        <v>215765.89999999997</v>
      </c>
      <c r="H2" s="5">
        <v>0.3903229827125439</v>
      </c>
    </row>
    <row r="3" spans="1:8" x14ac:dyDescent="0.25">
      <c r="A3" s="2" t="s">
        <v>2</v>
      </c>
      <c r="B3" s="4">
        <v>77593.299999999988</v>
      </c>
    </row>
    <row r="4" spans="1:8" x14ac:dyDescent="0.25">
      <c r="A4" s="2" t="s">
        <v>3</v>
      </c>
      <c r="B4" s="4">
        <v>121206.20000000017</v>
      </c>
    </row>
    <row r="5" spans="1:8" x14ac:dyDescent="0.25">
      <c r="A5" s="2" t="s">
        <v>4</v>
      </c>
      <c r="B5" s="4">
        <v>134391.09999999995</v>
      </c>
    </row>
    <row r="6" spans="1:8" x14ac:dyDescent="0.25">
      <c r="A6" s="2" t="s">
        <v>5</v>
      </c>
      <c r="B6" s="4">
        <v>119962.20000000019</v>
      </c>
    </row>
    <row r="7" spans="1:8" x14ac:dyDescent="0.25">
      <c r="A7" s="2" t="s">
        <v>6</v>
      </c>
      <c r="B7" s="4">
        <v>552788.1</v>
      </c>
    </row>
    <row r="11" spans="1:8" x14ac:dyDescent="0.25">
      <c r="A11" s="1" t="s">
        <v>0</v>
      </c>
      <c r="B11" t="s">
        <v>10</v>
      </c>
      <c r="D11" t="str">
        <f>"Total No Fo Sales:"&amp;TEXT(GETPIVOTDATA("[Measures].[NoOfSales]",$A$11),"#,#")</f>
        <v>Total No Fo Sales:9,020</v>
      </c>
    </row>
    <row r="12" spans="1:8" x14ac:dyDescent="0.25">
      <c r="A12" s="2" t="s">
        <v>7</v>
      </c>
      <c r="B12" s="3">
        <v>585</v>
      </c>
    </row>
    <row r="13" spans="1:8" x14ac:dyDescent="0.25">
      <c r="A13" s="2" t="s">
        <v>8</v>
      </c>
      <c r="B13" s="3">
        <v>2255</v>
      </c>
    </row>
    <row r="14" spans="1:8" x14ac:dyDescent="0.25">
      <c r="A14" s="2" t="s">
        <v>9</v>
      </c>
      <c r="B14" s="3">
        <v>6180</v>
      </c>
    </row>
    <row r="15" spans="1:8" x14ac:dyDescent="0.25">
      <c r="A15" s="2" t="s">
        <v>6</v>
      </c>
      <c r="B15" s="3">
        <v>9020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F257-BF39-4C0B-A0D9-066E989A23A6}">
  <dimension ref="A21:T34"/>
  <sheetViews>
    <sheetView tabSelected="1" topLeftCell="A11" zoomScale="70" zoomScaleNormal="70" workbookViewId="0">
      <selection activeCell="P27" sqref="P27"/>
    </sheetView>
  </sheetViews>
  <sheetFormatPr defaultRowHeight="15" x14ac:dyDescent="0.25"/>
  <cols>
    <col min="1" max="1" width="17.85546875" bestFit="1" customWidth="1"/>
    <col min="2" max="2" width="21" bestFit="1" customWidth="1"/>
    <col min="3" max="3" width="16.7109375" bestFit="1" customWidth="1"/>
  </cols>
  <sheetData>
    <row r="21" spans="1:20" x14ac:dyDescent="0.25">
      <c r="A21" s="1" t="s">
        <v>0</v>
      </c>
      <c r="B21" t="s">
        <v>26</v>
      </c>
      <c r="C21" t="s">
        <v>27</v>
      </c>
    </row>
    <row r="22" spans="1:20" x14ac:dyDescent="0.25">
      <c r="A22" s="2" t="s">
        <v>14</v>
      </c>
      <c r="B22" s="5">
        <v>5.7448233780719976E-2</v>
      </c>
      <c r="C22" s="4">
        <v>31756.700000000004</v>
      </c>
    </row>
    <row r="23" spans="1:20" x14ac:dyDescent="0.25">
      <c r="A23" s="2" t="s">
        <v>15</v>
      </c>
      <c r="B23" s="5">
        <v>4.9621545760482194E-2</v>
      </c>
      <c r="C23" s="4">
        <v>59186.9</v>
      </c>
    </row>
    <row r="24" spans="1:20" x14ac:dyDescent="0.25">
      <c r="A24" s="2" t="s">
        <v>16</v>
      </c>
      <c r="B24" s="5">
        <v>8.8589461314380627E-2</v>
      </c>
      <c r="C24" s="4">
        <v>108158.09999999999</v>
      </c>
    </row>
    <row r="25" spans="1:20" x14ac:dyDescent="0.25">
      <c r="A25" s="2" t="s">
        <v>17</v>
      </c>
      <c r="B25" s="5">
        <v>7.5376441714284384E-2</v>
      </c>
      <c r="C25" s="4">
        <v>149825.29999999996</v>
      </c>
    </row>
    <row r="26" spans="1:20" x14ac:dyDescent="0.25">
      <c r="A26" s="2" t="s">
        <v>18</v>
      </c>
      <c r="B26" s="5">
        <v>8.6500957600208872E-2</v>
      </c>
      <c r="C26" s="4">
        <v>197642.00000000003</v>
      </c>
    </row>
    <row r="27" spans="1:20" ht="28.5" x14ac:dyDescent="0.45">
      <c r="A27" s="2" t="s">
        <v>19</v>
      </c>
      <c r="B27" s="5">
        <v>0.11509129809415219</v>
      </c>
      <c r="C27" s="4">
        <v>261263.10000000006</v>
      </c>
      <c r="I27" s="8" t="s">
        <v>28</v>
      </c>
      <c r="P27" s="8" t="s">
        <v>29</v>
      </c>
    </row>
    <row r="28" spans="1:20" ht="15" customHeight="1" x14ac:dyDescent="0.25">
      <c r="A28" s="2" t="s">
        <v>20</v>
      </c>
      <c r="B28" s="5">
        <v>0.11386442653161311</v>
      </c>
      <c r="C28" s="4">
        <v>324206</v>
      </c>
      <c r="I28" s="6">
        <f>GETPIVOTDATA("[Measures].[TotalRevWeekend]",Sheet1!$G$1)</f>
        <v>215765.89999999997</v>
      </c>
      <c r="J28" s="7"/>
      <c r="K28" s="7"/>
      <c r="L28" s="7"/>
      <c r="M28" s="7"/>
      <c r="N28" s="7"/>
      <c r="P28" s="9">
        <f>GETPIVOTDATA("[Measures].[TotalRev%Weekend]",Sheet1!$G$1)</f>
        <v>0.3903229827125439</v>
      </c>
      <c r="Q28" s="9"/>
      <c r="R28" s="9"/>
      <c r="S28" s="9"/>
      <c r="T28" s="9"/>
    </row>
    <row r="29" spans="1:20" ht="15" customHeight="1" x14ac:dyDescent="0.25">
      <c r="A29" s="2" t="s">
        <v>21</v>
      </c>
      <c r="B29" s="5">
        <v>0.11624056306566667</v>
      </c>
      <c r="C29" s="4">
        <v>388462.40000000008</v>
      </c>
      <c r="I29" s="6"/>
      <c r="J29" s="7"/>
      <c r="K29" s="7"/>
      <c r="L29" s="7"/>
      <c r="M29" s="7"/>
      <c r="N29" s="7"/>
      <c r="P29" s="9"/>
      <c r="Q29" s="9"/>
      <c r="R29" s="9"/>
      <c r="S29" s="9"/>
      <c r="T29" s="9"/>
    </row>
    <row r="30" spans="1:20" ht="15" customHeight="1" x14ac:dyDescent="0.25">
      <c r="A30" s="2" t="s">
        <v>22</v>
      </c>
      <c r="B30" s="5">
        <v>0.14965390897524755</v>
      </c>
      <c r="C30" s="4">
        <v>471189.30000000016</v>
      </c>
      <c r="I30" s="6"/>
      <c r="J30" s="7"/>
      <c r="K30" s="7"/>
      <c r="L30" s="7"/>
      <c r="M30" s="7"/>
      <c r="N30" s="7"/>
      <c r="P30" s="9"/>
      <c r="Q30" s="9"/>
      <c r="R30" s="9"/>
      <c r="S30" s="9"/>
      <c r="T30" s="9"/>
    </row>
    <row r="31" spans="1:20" ht="15" customHeight="1" x14ac:dyDescent="0.25">
      <c r="A31" s="2" t="s">
        <v>23</v>
      </c>
      <c r="B31" s="5">
        <v>6.9376493452011676E-2</v>
      </c>
      <c r="C31" s="4">
        <v>509539.80000000022</v>
      </c>
      <c r="I31" s="6"/>
      <c r="J31" s="7"/>
      <c r="K31" s="7"/>
      <c r="L31" s="7"/>
      <c r="M31" s="7"/>
      <c r="N31" s="7"/>
      <c r="P31" s="9"/>
      <c r="Q31" s="9"/>
      <c r="R31" s="9"/>
      <c r="S31" s="9"/>
      <c r="T31" s="9"/>
    </row>
    <row r="32" spans="1:20" ht="15" customHeight="1" x14ac:dyDescent="0.25">
      <c r="A32" s="2" t="s">
        <v>24</v>
      </c>
      <c r="B32" s="5">
        <v>3.115262430576924E-2</v>
      </c>
      <c r="C32" s="4">
        <v>526760.60000000033</v>
      </c>
      <c r="I32" s="6"/>
      <c r="J32" s="7"/>
      <c r="K32" s="7"/>
      <c r="L32" s="7"/>
      <c r="M32" s="7"/>
      <c r="N32" s="7"/>
      <c r="P32" s="9"/>
      <c r="Q32" s="9"/>
      <c r="R32" s="9"/>
      <c r="S32" s="9"/>
      <c r="T32" s="9"/>
    </row>
    <row r="33" spans="1:20" ht="15" customHeight="1" x14ac:dyDescent="0.25">
      <c r="A33" s="2" t="s">
        <v>25</v>
      </c>
      <c r="B33" s="5">
        <v>4.7084045405463661E-2</v>
      </c>
      <c r="C33" s="4">
        <v>552788.10000000056</v>
      </c>
      <c r="I33" s="6"/>
      <c r="J33" s="7"/>
      <c r="K33" s="7"/>
      <c r="L33" s="7"/>
      <c r="M33" s="7"/>
      <c r="N33" s="7"/>
      <c r="P33" s="9"/>
      <c r="Q33" s="9"/>
      <c r="R33" s="9"/>
      <c r="S33" s="9"/>
      <c r="T33" s="9"/>
    </row>
    <row r="34" spans="1:20" x14ac:dyDescent="0.25">
      <c r="A34" s="2" t="s">
        <v>6</v>
      </c>
      <c r="B34" s="5">
        <v>1</v>
      </c>
      <c r="C34" s="4">
        <v>552788.1</v>
      </c>
    </row>
  </sheetData>
  <mergeCells count="2">
    <mergeCell ref="I28:N33"/>
    <mergeCell ref="P28:T33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14377B2-DBAF-48C0-B0DF-4BCEEC4FBC69}">
  <ds:schemaRefs/>
</ds:datastoreItem>
</file>

<file path=customXml/itemProps2.xml><?xml version="1.0" encoding="utf-8"?>
<ds:datastoreItem xmlns:ds="http://schemas.openxmlformats.org/officeDocument/2006/customXml" ds:itemID="{36A5E408-F7EF-45FC-A621-768CA4BAF6F8}">
  <ds:schemaRefs/>
</ds:datastoreItem>
</file>

<file path=customXml/itemProps3.xml><?xml version="1.0" encoding="utf-8"?>
<ds:datastoreItem xmlns:ds="http://schemas.openxmlformats.org/officeDocument/2006/customXml" ds:itemID="{767F9032-85E4-40EA-B341-BDAA4A16578A}">
  <ds:schemaRefs/>
</ds:datastoreItem>
</file>

<file path=customXml/itemProps4.xml><?xml version="1.0" encoding="utf-8"?>
<ds:datastoreItem xmlns:ds="http://schemas.openxmlformats.org/officeDocument/2006/customXml" ds:itemID="{D0080514-D615-487E-90D9-171FDDDA896E}">
  <ds:schemaRefs/>
</ds:datastoreItem>
</file>

<file path=customXml/itemProps5.xml><?xml version="1.0" encoding="utf-8"?>
<ds:datastoreItem xmlns:ds="http://schemas.openxmlformats.org/officeDocument/2006/customXml" ds:itemID="{A245BCC7-3FEE-4409-8128-2F42610B5363}">
  <ds:schemaRefs/>
</ds:datastoreItem>
</file>

<file path=customXml/itemProps6.xml><?xml version="1.0" encoding="utf-8"?>
<ds:datastoreItem xmlns:ds="http://schemas.openxmlformats.org/officeDocument/2006/customXml" ds:itemID="{16E386EA-EA1C-455A-956B-1861508FE93B}">
  <ds:schemaRefs/>
</ds:datastoreItem>
</file>

<file path=customXml/itemProps7.xml><?xml version="1.0" encoding="utf-8"?>
<ds:datastoreItem xmlns:ds="http://schemas.openxmlformats.org/officeDocument/2006/customXml" ds:itemID="{262E0792-C56C-4CFA-A276-5BBAE7884C1E}">
  <ds:schemaRefs/>
</ds:datastoreItem>
</file>

<file path=customXml/itemProps8.xml><?xml version="1.0" encoding="utf-8"?>
<ds:datastoreItem xmlns:ds="http://schemas.openxmlformats.org/officeDocument/2006/customXml" ds:itemID="{FF16A475-F187-409C-BF3E-8AB2758A0AC5}">
  <ds:schemaRefs/>
</ds:datastoreItem>
</file>

<file path=customXml/itemProps9.xml><?xml version="1.0" encoding="utf-8"?>
<ds:datastoreItem xmlns:ds="http://schemas.openxmlformats.org/officeDocument/2006/customXml" ds:itemID="{D1B56298-55F7-4154-9FEE-7901E5D51E7B}">
  <ds:schemaRefs/>
</ds:datastoreItem>
</file>

<file path=customXml/itemProps10.xml><?xml version="1.0" encoding="utf-8"?>
<ds:datastoreItem xmlns:ds="http://schemas.openxmlformats.org/officeDocument/2006/customXml" ds:itemID="{151A220F-1542-4E34-A941-92DA2434760A}">
  <ds:schemaRefs/>
</ds:datastoreItem>
</file>

<file path=customXml/itemProps11.xml><?xml version="1.0" encoding="utf-8"?>
<ds:datastoreItem xmlns:ds="http://schemas.openxmlformats.org/officeDocument/2006/customXml" ds:itemID="{53085FC9-B16B-47A4-A944-B4763DFE57F0}">
  <ds:schemaRefs/>
</ds:datastoreItem>
</file>

<file path=customXml/itemProps12.xml><?xml version="1.0" encoding="utf-8"?>
<ds:datastoreItem xmlns:ds="http://schemas.openxmlformats.org/officeDocument/2006/customXml" ds:itemID="{D50554C0-BF68-4CBA-96ED-67CADB9AB93D}">
  <ds:schemaRefs/>
</ds:datastoreItem>
</file>

<file path=customXml/itemProps13.xml><?xml version="1.0" encoding="utf-8"?>
<ds:datastoreItem xmlns:ds="http://schemas.openxmlformats.org/officeDocument/2006/customXml" ds:itemID="{23CB04D6-D5B4-4A28-99F4-B993E3E25571}">
  <ds:schemaRefs/>
</ds:datastoreItem>
</file>

<file path=customXml/itemProps14.xml><?xml version="1.0" encoding="utf-8"?>
<ds:datastoreItem xmlns:ds="http://schemas.openxmlformats.org/officeDocument/2006/customXml" ds:itemID="{2B4065A5-1EFC-4D32-8CAA-D1C78E523EF1}">
  <ds:schemaRefs/>
</ds:datastoreItem>
</file>

<file path=customXml/itemProps15.xml><?xml version="1.0" encoding="utf-8"?>
<ds:datastoreItem xmlns:ds="http://schemas.openxmlformats.org/officeDocument/2006/customXml" ds:itemID="{C0A279DC-E14E-4D2D-919E-8E44FC9DBFCA}">
  <ds:schemaRefs/>
</ds:datastoreItem>
</file>

<file path=customXml/itemProps16.xml><?xml version="1.0" encoding="utf-8"?>
<ds:datastoreItem xmlns:ds="http://schemas.openxmlformats.org/officeDocument/2006/customXml" ds:itemID="{9805EEF9-AE9A-4DA8-9287-71353EB087D0}">
  <ds:schemaRefs/>
</ds:datastoreItem>
</file>

<file path=customXml/itemProps17.xml><?xml version="1.0" encoding="utf-8"?>
<ds:datastoreItem xmlns:ds="http://schemas.openxmlformats.org/officeDocument/2006/customXml" ds:itemID="{9E88222D-BEA6-4381-BE2B-96F82D2FDDF1}">
  <ds:schemaRefs/>
</ds:datastoreItem>
</file>

<file path=customXml/itemProps18.xml><?xml version="1.0" encoding="utf-8"?>
<ds:datastoreItem xmlns:ds="http://schemas.openxmlformats.org/officeDocument/2006/customXml" ds:itemID="{034288D3-31AF-47C2-9CA6-6C8CE82C2107}">
  <ds:schemaRefs/>
</ds:datastoreItem>
</file>

<file path=customXml/itemProps19.xml><?xml version="1.0" encoding="utf-8"?>
<ds:datastoreItem xmlns:ds="http://schemas.openxmlformats.org/officeDocument/2006/customXml" ds:itemID="{2483E0BF-2A58-4232-BD83-8D347F8C28EA}">
  <ds:schemaRefs/>
</ds:datastoreItem>
</file>

<file path=customXml/itemProps20.xml><?xml version="1.0" encoding="utf-8"?>
<ds:datastoreItem xmlns:ds="http://schemas.openxmlformats.org/officeDocument/2006/customXml" ds:itemID="{C20AD9DE-81E8-404E-8D2F-3BC03421BEDD}">
  <ds:schemaRefs/>
</ds:datastoreItem>
</file>

<file path=customXml/itemProps21.xml><?xml version="1.0" encoding="utf-8"?>
<ds:datastoreItem xmlns:ds="http://schemas.openxmlformats.org/officeDocument/2006/customXml" ds:itemID="{3B0C0EDD-CA07-4A12-817D-E632FC5662D7}">
  <ds:schemaRefs/>
</ds:datastoreItem>
</file>

<file path=customXml/itemProps22.xml><?xml version="1.0" encoding="utf-8"?>
<ds:datastoreItem xmlns:ds="http://schemas.openxmlformats.org/officeDocument/2006/customXml" ds:itemID="{4391F69B-2B84-4215-B390-EBADD9BD40A6}">
  <ds:schemaRefs/>
</ds:datastoreItem>
</file>

<file path=customXml/itemProps23.xml><?xml version="1.0" encoding="utf-8"?>
<ds:datastoreItem xmlns:ds="http://schemas.openxmlformats.org/officeDocument/2006/customXml" ds:itemID="{99241ABC-D729-4AAE-9F9D-AA07CF9772BA}">
  <ds:schemaRefs/>
</ds:datastoreItem>
</file>

<file path=customXml/itemProps24.xml><?xml version="1.0" encoding="utf-8"?>
<ds:datastoreItem xmlns:ds="http://schemas.openxmlformats.org/officeDocument/2006/customXml" ds:itemID="{EA453B82-9C94-40B4-861A-BE48EC3AA353}">
  <ds:schemaRefs/>
</ds:datastoreItem>
</file>

<file path=customXml/itemProps25.xml><?xml version="1.0" encoding="utf-8"?>
<ds:datastoreItem xmlns:ds="http://schemas.openxmlformats.org/officeDocument/2006/customXml" ds:itemID="{1B612789-4849-42C2-BC76-326EACB7C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2020-03-11T13:12:11Z</dcterms:created>
  <dcterms:modified xsi:type="dcterms:W3CDTF">2026-05-23T15:42:19Z</dcterms:modified>
</cp:coreProperties>
</file>