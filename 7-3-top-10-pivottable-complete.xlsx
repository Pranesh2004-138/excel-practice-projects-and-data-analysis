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dmin\Google Drive\Freelancing\SimonSezIT\power-query-dax-power-pivot\Module 7 - Demo Files\"/>
    </mc:Choice>
  </mc:AlternateContent>
  <xr:revisionPtr revIDLastSave="0" documentId="8_{94AA1346-3D6B-43D0-BA6A-52CFD5827BC5}" xr6:coauthVersionLast="45" xr6:coauthVersionMax="45" xr10:uidLastSave="{00000000-0000-0000-0000-000000000000}"/>
  <bookViews>
    <workbookView xWindow="-120" yWindow="-120" windowWidth="29040" windowHeight="15840" activeTab="1" xr2:uid="{BDCAEEFC-450E-458F-A14B-8B0CE69947B8}"/>
  </bookViews>
  <sheets>
    <sheet name="Sheet1" sheetId="1" r:id="rId1"/>
    <sheet name="Report" sheetId="2" r:id="rId2"/>
  </sheets>
  <definedNames>
    <definedName name="Slicer_Region">#N/A</definedName>
    <definedName name="Slicer_Weekend?">#N/A</definedName>
  </definedNames>
  <calcPr calcId="191029"/>
  <pivotCaches>
    <pivotCache cacheId="491" r:id="rId3"/>
    <pivotCache cacheId="591" r:id="rId4"/>
    <pivotCache cacheId="594" r:id="rId5"/>
    <pivotCache cacheId="651" r:id="rId6"/>
    <pivotCache cacheId="654" r:id="rId7"/>
  </pivotCaches>
  <extLst>
    <ext xmlns:x14="http://schemas.microsoft.com/office/spreadsheetml/2009/9/main" uri="{876F7934-8845-4945-9796-88D515C7AA90}">
      <x14:pivotCaches>
        <pivotCache cacheId="493"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_a097d768-3c75-4dfb-af99-6bdfcc9014c7" name="fSales" connection="Query - fSales"/>
          <x15:modelTable id="dProducts_be3c8409-0f67-413a-8385-350aa2e6ad3c" name="dProducts" connection="Query - dProducts"/>
          <x15:modelTable id="dReps_9e0c18bf-bef1-4b34-bed3-75c5601132e0" name="dReps" connection="Query - dReps"/>
          <x15:modelTable id="dStores_ea059f96-390b-43e6-a4b6-406ee4f8058c" name="dStores" connection="Query - dStores"/>
          <x15:modelTable id="Calendar" name="Calendar" connection="Connection"/>
        </x15:modelTables>
        <x15:modelRelationships>
          <x15:modelRelationship fromTable="fSales" fromColumn="Product" toTable="dProducts" toColumn="Product ID"/>
          <x15:modelRelationship fromTable="fSales" fromColumn="SP ID" toTable="dReps" toColumn="ID"/>
          <x15:modelRelationship fromTable="fSales" fromColumn="Store" toTable="dStores" toColumn="Store ID"/>
          <x15:modelRelationship fromTable="fSale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 i="2" l="1"/>
  <c r="D3" i="2"/>
  <c r="D4" i="1"/>
  <c r="D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A15DE-ACFD-4A6A-8A53-C0C9E60BD5FF}" name="Connection" type="104" refreshedVersion="0" background="1">
    <extLst>
      <ext xmlns:x15="http://schemas.microsoft.com/office/spreadsheetml/2010/11/main" uri="{DE250136-89BD-433C-8126-D09CA5730AF9}">
        <x15:connection id="Calendar"/>
      </ext>
    </extLst>
  </connection>
  <connection id="2" xr16:uid="{361B23D7-4E79-4FA7-B954-DFBF0F683784}" keepAlive="1" name="Query - dCategories" description="Connection to the 'dCategories' query in the workbook." type="5" refreshedVersion="0" background="1">
    <dbPr connection="Provider=Microsoft.Mashup.OleDb.1;Data Source=$Workbook$;Location=dCategories;Extended Properties=&quot;&quot;" command="SELECT * FROM [dCategories]"/>
  </connection>
  <connection id="3" xr16:uid="{97B58AFA-2472-4375-83CE-93262EA94216}" keepAlive="1" name="Query - Discontinued" description="Connection to the 'Discontinued' query in the workbook." type="5" refreshedVersion="0" background="1">
    <dbPr connection="Provider=Microsoft.Mashup.OleDb.1;Data Source=$Workbook$;Location=Discontinued;Extended Properties=&quot;&quot;" command="SELECT * FROM [Discontinued]"/>
  </connection>
  <connection id="4" xr16:uid="{C68601C9-3996-46A4-961C-2A7DC810C9DD}" name="Query - dProducts" description="Connection to the 'dProducts' query in the workbook." type="100" refreshedVersion="6" minRefreshableVersion="5">
    <extLst>
      <ext xmlns:x15="http://schemas.microsoft.com/office/spreadsheetml/2010/11/main" uri="{DE250136-89BD-433C-8126-D09CA5730AF9}">
        <x15:connection id="d9f07544-2e5c-4c45-9253-34ba7bf071c5"/>
      </ext>
    </extLst>
  </connection>
  <connection id="5" xr16:uid="{0539DD50-07C3-4CA2-9693-E55651AE1DB0}" name="Query - dReps" description="Connection to the 'dReps' query in the workbook." type="100" refreshedVersion="6" minRefreshableVersion="5">
    <extLst>
      <ext xmlns:x15="http://schemas.microsoft.com/office/spreadsheetml/2010/11/main" uri="{DE250136-89BD-433C-8126-D09CA5730AF9}">
        <x15:connection id="84fe6ae3-5604-48eb-933b-361536588c26"/>
      </ext>
    </extLst>
  </connection>
  <connection id="6" xr16:uid="{8ABDD553-FBC1-4AF3-8E6D-F86986B2D3BB}" name="Query - dStores" description="Connection to the 'dStores' query in the workbook." type="100" refreshedVersion="6" minRefreshableVersion="5">
    <extLst>
      <ext xmlns:x15="http://schemas.microsoft.com/office/spreadsheetml/2010/11/main" uri="{DE250136-89BD-433C-8126-D09CA5730AF9}">
        <x15:connection id="42e6cc18-44f9-4b7d-9171-827a4f1b84cc"/>
      </ext>
    </extLst>
  </connection>
  <connection id="7" xr16:uid="{956A122B-B2F3-498C-B0E9-03AE01C7B809}" name="Query - fSales" description="Connection to the 'fSales' query in the workbook." type="100" refreshedVersion="6" minRefreshableVersion="5">
    <extLst>
      <ext xmlns:x15="http://schemas.microsoft.com/office/spreadsheetml/2010/11/main" uri="{DE250136-89BD-433C-8126-D09CA5730AF9}">
        <x15:connection id="acc10dbf-fdb6-4d5f-b1fc-a9b0aebe6929"/>
      </ext>
    </extLst>
  </connection>
  <connection id="8" xr16:uid="{04ED14F6-1781-4FA0-A726-BDE3DDC785E4}" keepAlive="1" name="Query - new-products" description="Connection to the 'new-products' query in the workbook." type="5" refreshedVersion="0" background="1">
    <dbPr connection="Provider=Microsoft.Mashup.OleDb.1;Data Source=$Workbook$;Location=new-products;Extended Properties=&quot;&quot;" command="SELECT * FROM [new-products]"/>
  </connection>
  <connection id="9" xr16:uid="{012A847C-6644-4190-B4A6-17CF8CC8043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0" xr16:uid="{C3EC924B-343B-47CB-8762-50E54694D7C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FC37F1D8-9F5A-42BA-994B-610BC46C62A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72F68FD0-C0BC-4D61-9DEA-F6D7E45047C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26253A53-2D66-4D59-8BE1-AC02265317A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<sst xmlns="http://schemas.openxmlformats.org/spreadsheetml/2006/main" count="45" uniqueCount="40">
  <si>
    <t>Row Labels</t>
  </si>
  <si>
    <t>East</t>
  </si>
  <si>
    <t>North East</t>
  </si>
  <si>
    <t>North West</t>
  </si>
  <si>
    <t>South</t>
  </si>
  <si>
    <t>West</t>
  </si>
  <si>
    <t>Grand Total</t>
  </si>
  <si>
    <t>Cheap</t>
  </si>
  <si>
    <t>Premium</t>
  </si>
  <si>
    <t>Standard</t>
  </si>
  <si>
    <t>NoOfSales</t>
  </si>
  <si>
    <t>TotalRevenue</t>
  </si>
  <si>
    <t>TotalRevWeekend</t>
  </si>
  <si>
    <t>TotalRev%Weekend</t>
  </si>
  <si>
    <t>January</t>
  </si>
  <si>
    <t>February</t>
  </si>
  <si>
    <t>March</t>
  </si>
  <si>
    <t>April</t>
  </si>
  <si>
    <t>May</t>
  </si>
  <si>
    <t>June</t>
  </si>
  <si>
    <t>July</t>
  </si>
  <si>
    <t>August</t>
  </si>
  <si>
    <t>September</t>
  </si>
  <si>
    <t>October</t>
  </si>
  <si>
    <t>November</t>
  </si>
  <si>
    <t>December</t>
  </si>
  <si>
    <t>Month%TotalRev</t>
  </si>
  <si>
    <t>TotalRevYTD</t>
  </si>
  <si>
    <t>Total Revenue at Weekend</t>
  </si>
  <si>
    <t>% Total Revenue at Weekend</t>
  </si>
  <si>
    <t>Baguette</t>
  </si>
  <si>
    <t>Beer</t>
  </si>
  <si>
    <t>Blueberry Muffin</t>
  </si>
  <si>
    <t>Chocolate Chip Muffin</t>
  </si>
  <si>
    <t>Croissant</t>
  </si>
  <si>
    <t>Jacket Potato</t>
  </si>
  <si>
    <t>Samosa</t>
  </si>
  <si>
    <t>Sandwich</t>
  </si>
  <si>
    <t>Soup</t>
  </si>
  <si>
    <t>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</si>
</sst>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quot;£&quot;#,##0.00"/>
    <numFmt numFmtId="164" formatCode="0.0%;\-0.0%;0.0%"/>
    <numFmt numFmtId="165" formatCode="_-[$£-809]* #,##0.00_-;\-[$£-809]* #,##0.00_-;_-[$£-809]* &quot;-&quot;??_-;_-@_-"/>
    <numFmt numFmtId="166" formatCode="&quot;£&quot;#,##0.00;\-&quot;£&quot;#,##0.00;&quot;£&quot;#,##0.00"/>
  </numFmts>
  <fonts count="4" x14ac:knownFonts="1">
    <font>
      <sz val="11"/>
      <color theme="1"/>
      <name val="Calibri"/>
      <family val="2"/>
      <scheme val="minor"/>
    </font>
    <font>
      <sz val="11"/>
      <color theme="1"/>
      <name val="Calibri"/>
      <family val="2"/>
      <scheme val="minor"/>
    </font>
    <font>
      <b/>
      <sz val="18"/>
      <color theme="1"/>
      <name val="Calibri"/>
      <family val="2"/>
      <scheme val="minor"/>
    </font>
    <font>
      <b/>
      <sz val="12"/>
      <color theme="8" tint="-0.249977111117893"/>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3" fillId="0" borderId="0" xfId="0" applyFont="1"/>
    <xf numFmtId="7" fontId="0" fillId="0" borderId="0" xfId="0" applyNumberFormat="1"/>
    <xf numFmtId="165" fontId="2" fillId="0" borderId="1"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3" xfId="0" applyNumberFormat="1" applyFont="1" applyBorder="1" applyAlignment="1">
      <alignment horizontal="center" vertical="center"/>
    </xf>
    <xf numFmtId="165" fontId="2" fillId="0" borderId="4" xfId="0" applyNumberFormat="1" applyFont="1" applyBorder="1" applyAlignment="1">
      <alignment horizontal="center" vertical="center"/>
    </xf>
    <xf numFmtId="165" fontId="2" fillId="0" borderId="5" xfId="0" applyNumberFormat="1" applyFont="1" applyBorder="1" applyAlignment="1">
      <alignment horizontal="center" vertical="center"/>
    </xf>
    <xf numFmtId="165" fontId="2" fillId="0" borderId="6" xfId="0" applyNumberFormat="1" applyFont="1" applyBorder="1" applyAlignment="1">
      <alignment horizontal="center" vertical="center"/>
    </xf>
    <xf numFmtId="9" fontId="2" fillId="0" borderId="1" xfId="1" applyFont="1" applyBorder="1" applyAlignment="1">
      <alignment horizontal="center" vertical="center"/>
    </xf>
    <xf numFmtId="9" fontId="2" fillId="0" borderId="2" xfId="1" applyFont="1" applyBorder="1" applyAlignment="1">
      <alignment horizontal="center" vertical="center"/>
    </xf>
    <xf numFmtId="9" fontId="2" fillId="0" borderId="3" xfId="1" applyFont="1" applyBorder="1" applyAlignment="1">
      <alignment horizontal="center" vertical="center"/>
    </xf>
    <xf numFmtId="9" fontId="2" fillId="0" borderId="4" xfId="1" applyFont="1" applyBorder="1" applyAlignment="1">
      <alignment horizontal="center" vertical="center"/>
    </xf>
    <xf numFmtId="9" fontId="2" fillId="0" borderId="5" xfId="1" applyFont="1" applyBorder="1" applyAlignment="1">
      <alignment horizontal="center" vertical="center"/>
    </xf>
    <xf numFmtId="9" fontId="2" fillId="0" borderId="6" xfId="1" applyFont="1" applyBorder="1" applyAlignment="1">
      <alignment horizontal="center" vertical="center"/>
    </xf>
    <xf numFmtId="166"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3" Type="http://schemas.openxmlformats.org/officeDocument/2006/relationships/pivotCacheDefinition" Target="pivotCache/pivotCacheDefinition1.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[7-3-top-10-pivottable-complete.xlsx]Sheet1!SalesByValue</c:name>
    <c:fmtId val="1"/>
  </c:pivotSource>
  <c:chart>
    <c:title>
      <c:tx>
        <c:strRef>
          <c:f>Sheet1!$D$12</c:f>
          <c:strCache>
            <c:ptCount val="1"/>
            <c:pt idx="0">
              <c:v>Total No of Sales: 9,020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c:f>
              <c:strCache>
                <c:ptCount val="3"/>
                <c:pt idx="0">
                  <c:v>Cheap</c:v>
                </c:pt>
                <c:pt idx="1">
                  <c:v>Premium</c:v>
                </c:pt>
                <c:pt idx="2">
                  <c:v>Standard</c:v>
                </c:pt>
              </c:strCache>
            </c:strRef>
          </c:cat>
          <c:val>
            <c:numRef>
              <c:f>Sheet1!$D$12</c:f>
              <c:numCache>
                <c:formatCode>#,##0</c:formatCode>
                <c:ptCount val="3"/>
                <c:pt idx="0">
                  <c:v>585</c:v>
                </c:pt>
                <c:pt idx="1">
                  <c:v>2255</c:v>
                </c:pt>
                <c:pt idx="2">
                  <c:v>6180</c:v>
                </c:pt>
              </c:numCache>
            </c:numRef>
          </c:val>
          <c:extLst>
            <c:ext xmlns:c16="http://schemas.microsoft.com/office/drawing/2014/chart" uri="{C3380CC4-5D6E-409C-BE32-E72D297353CC}">
              <c16:uniqueId val="{00000000-677D-424C-A3EC-24AAB8EB168F}"/>
            </c:ext>
          </c:extLst>
        </c:ser>
        <c:dLbls>
          <c:dLblPos val="outEnd"/>
          <c:showLegendKey val="0"/>
          <c:showVal val="1"/>
          <c:showCatName val="0"/>
          <c:showSerName val="0"/>
          <c:showPercent val="0"/>
          <c:showBubbleSize val="0"/>
        </c:dLbls>
        <c:gapWidth val="219"/>
        <c:overlap val="-27"/>
        <c:axId val="554698832"/>
        <c:axId val="554696208"/>
      </c:barChart>
      <c:catAx>
        <c:axId val="5546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96208"/>
        <c:crosses val="autoZero"/>
        <c:auto val="1"/>
        <c:lblAlgn val="ctr"/>
        <c:lblOffset val="100"/>
        <c:noMultiLvlLbl val="0"/>
      </c:catAx>
      <c:valAx>
        <c:axId val="554696208"/>
        <c:scaling>
          <c:orientation val="minMax"/>
        </c:scaling>
        <c:delete val="1"/>
        <c:axPos val="l"/>
        <c:numFmt formatCode="#,##0" sourceLinked="1"/>
        <c:majorTickMark val="none"/>
        <c:minorTickMark val="none"/>
        <c:tickLblPos val="nextTo"/>
        <c:crossAx val="55469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[7-3-top-10-pivottable-complete.xlsx]Sheet1!SalesByRegion</c:name>
    <c:fmtId val="1"/>
  </c:pivotSource>
  <c:chart>
    <c:title>
      <c:tx>
        <c:strRef>
          <c:f>Sheet1!$D$4</c:f>
          <c:strCache>
            <c:ptCount val="1"/>
            <c:pt idx="0">
              <c:v>Total Revenue: £552,788.10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c:f>
              <c:strCache>
                <c:ptCount val="1"/>
                <c:pt idx="0">
                  <c:v>Total</c:v>
                </c:pt>
              </c:strCache>
            </c:strRef>
          </c:tx>
          <c:spPr>
            <a:solidFill>
              <a:schemeClr val="accent6"/>
            </a:solidFill>
            <a:ln>
              <a:noFill/>
            </a:ln>
            <a:effectLst/>
          </c:spPr>
          <c:invertIfNegative val="0"/>
          <c:cat>
            <c:strRef>
              <c:f>Sheet1!$D$4</c:f>
              <c:strCache>
                <c:ptCount val="5"/>
                <c:pt idx="0">
                  <c:v>East</c:v>
                </c:pt>
                <c:pt idx="1">
                  <c:v>North East</c:v>
                </c:pt>
                <c:pt idx="2">
                  <c:v>North West</c:v>
                </c:pt>
                <c:pt idx="3">
                  <c:v>South</c:v>
                </c:pt>
                <c:pt idx="4">
                  <c:v>West</c:v>
                </c:pt>
              </c:strCache>
            </c:strRef>
          </c:cat>
          <c:val>
            <c:numRef>
              <c:f>Sheet1!$D$4</c:f>
              <c:numCache>
                <c:formatCode>"£"#,##0.00_);\("£"#,##0.00\)</c:formatCode>
                <c:ptCount val="5"/>
                <c:pt idx="0">
                  <c:v>99635.300000000017</c:v>
                </c:pt>
                <c:pt idx="1">
                  <c:v>77593.299999999988</c:v>
                </c:pt>
                <c:pt idx="2">
                  <c:v>121206.20000000017</c:v>
                </c:pt>
                <c:pt idx="3">
                  <c:v>134391.09999999995</c:v>
                </c:pt>
                <c:pt idx="4">
                  <c:v>119962.20000000019</c:v>
                </c:pt>
              </c:numCache>
            </c:numRef>
          </c:val>
          <c:extLst>
            <c:ext xmlns:c16="http://schemas.microsoft.com/office/drawing/2014/chart" uri="{C3380CC4-5D6E-409C-BE32-E72D297353CC}">
              <c16:uniqueId val="{00000000-7D87-4A39-8625-07CA0B93B668}"/>
            </c:ext>
          </c:extLst>
        </c:ser>
        <c:dLbls>
          <c:showLegendKey val="0"/>
          <c:showVal val="0"/>
          <c:showCatName val="0"/>
          <c:showSerName val="0"/>
          <c:showPercent val="0"/>
          <c:showBubbleSize val="0"/>
        </c:dLbls>
        <c:gapWidth val="219"/>
        <c:overlap val="-27"/>
        <c:axId val="544853064"/>
        <c:axId val="544853392"/>
      </c:barChart>
      <c:catAx>
        <c:axId val="54485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392"/>
        <c:crosses val="autoZero"/>
        <c:auto val="1"/>
        <c:lblAlgn val="ctr"/>
        <c:lblOffset val="100"/>
        <c:noMultiLvlLbl val="0"/>
      </c:catAx>
      <c:valAx>
        <c:axId val="54485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276225</xdr:colOff>
      <xdr:row>5</xdr:row>
      <xdr:rowOff>95250</xdr:rowOff>
    </xdr:from>
    <xdr:to>
      <xdr:col>6</xdr:col>
      <xdr:colOff>361950</xdr:colOff>
      <xdr:row>19</xdr:row>
      <xdr:rowOff>171450</xdr:rowOff>
    </xdr:to>
    <xdr:graphicFrame macro="">
      <xdr:nvGraphicFramePr>
        <xdr:cNvPr id="2" name="Chart 1">
          <a:extLst>
            <a:ext uri="{FF2B5EF4-FFF2-40B4-BE49-F238E27FC236}">
              <a16:creationId xmlns:a16="http://schemas.microsoft.com/office/drawing/2014/main" id="{893DC75D-C7EF-494E-93AE-8F9F8422D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5</xdr:row>
      <xdr:rowOff>95250</xdr:rowOff>
    </xdr:from>
    <xdr:to>
      <xdr:col>14</xdr:col>
      <xdr:colOff>342900</xdr:colOff>
      <xdr:row>19</xdr:row>
      <xdr:rowOff>171450</xdr:rowOff>
    </xdr:to>
    <xdr:graphicFrame macro="">
      <xdr:nvGraphicFramePr>
        <xdr:cNvPr id="3" name="Chart 2">
          <a:extLst>
            <a:ext uri="{FF2B5EF4-FFF2-40B4-BE49-F238E27FC236}">
              <a16:creationId xmlns:a16="http://schemas.microsoft.com/office/drawing/2014/main" id="{D0920E24-5963-4C39-A70E-F6EE5A51C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47625</xdr:colOff>
      <xdr:row>0</xdr:row>
      <xdr:rowOff>66675</xdr:rowOff>
    </xdr:from>
    <xdr:to>
      <xdr:col>14</xdr:col>
      <xdr:colOff>47625</xdr:colOff>
      <xdr:row>5</xdr:row>
      <xdr:rowOff>47625</xdr:rowOff>
    </xdr:to>
    <mc:AlternateContent xmlns:mc="http://schemas.openxmlformats.org/markup-compatibility/2006" xmlns:a14="http://schemas.microsoft.com/office/drawing/2010/main">
      <mc:Choice Requires="a14">
        <xdr:graphicFrame macro="">
          <xdr:nvGraphicFramePr>
            <xdr:cNvPr id="4" name="Weekend?">
              <a:extLst>
                <a:ext uri="{FF2B5EF4-FFF2-40B4-BE49-F238E27FC236}">
                  <a16:creationId xmlns:a16="http://schemas.microsoft.com/office/drawing/2014/main" id="{42B98D6B-EE4E-40CB-BC0D-5C29BF29B081}"/>
                </a:ext>
              </a:extLst>
            </xdr:cNvPr>
            <xdr:cNvGraphicFramePr/>
          </xdr:nvGraphicFramePr>
          <xdr:xfrm>
            <a:off x="0" y="0"/>
            <a:ext cx="0" cy="0"/>
          </xdr:xfrm>
          <a:graphic>
            <a:graphicData uri="http://schemas.microsoft.com/office/drawing/2010/slicer">
              <sle:slicer xmlns:sle="http://schemas.microsoft.com/office/drawing/2010/slicer" name="Weekend?"/>
            </a:graphicData>
          </a:graphic>
        </xdr:graphicFrame>
      </mc:Choice>
      <mc:Fallback xmlns="">
        <xdr:sp macro="" textlink="">
          <xdr:nvSpPr>
            <xdr:cNvPr id="0" name=""/>
            <xdr:cNvSpPr>
              <a:spLocks noTextEdit="1"/>
            </xdr:cNvSpPr>
          </xdr:nvSpPr>
          <xdr:spPr>
            <a:xfrm>
              <a:off x="7743825" y="66675"/>
              <a:ext cx="1828800"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257175</xdr:colOff>
      <xdr:row>21</xdr:row>
      <xdr:rowOff>19050</xdr:rowOff>
    </xdr:from>
    <xdr:to>
      <xdr:col>5</xdr:col>
      <xdr:colOff>276225</xdr:colOff>
      <xdr:row>30</xdr:row>
      <xdr:rowOff>47625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770C778-CB50-44E0-916F-E1E1FA4D51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14650" y="4029075"/>
              <a:ext cx="1400175" cy="1743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3302546299" backgroundQuery="1" createdVersion="6" refreshedVersion="6" minRefreshableVersion="3" recordCount="0" supportSubquery="1" supportAdvancedDrill="1" xr:uid="{93C41BF3-87B7-407C-9656-8F92A7241E46}">
  <cacheSource type="external" connectionId="13"/>
  <cacheFields count="3">
    <cacheField name="[Measures].[TotalRevWeekend]" caption="TotalRevWeekend" numFmtId="0" hierarchy="29" level="32767"/>
    <cacheField name="[Measures].[TotalRev%Weekend]" caption="TotalRev%Weekend" numFmtId="0" hierarchy="30"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oneField="1">
      <fieldsUsage count="1">
        <fieldUsage x="0"/>
      </fieldsUsage>
    </cacheHierarchy>
    <cacheHierarchy uniqueName="[Measures].[TotalRev%Weekend]" caption="TotalRev%Weekend" measure="1" displayFolder="" measureGroup="fSales" count="0" oneField="1">
      <fieldsUsage count="1">
        <fieldUsage x="1"/>
      </fieldsUsage>
    </cacheHierarchy>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8.878767939816" backgroundQuery="1" createdVersion="6" refreshedVersion="6" minRefreshableVersion="3" recordCount="0" supportSubquery="1" supportAdvancedDrill="1" xr:uid="{41436390-871B-4578-91BB-DF4BBA6B9BFE}">
  <cacheSource type="external" connectionId="13"/>
  <cacheFields count="3">
    <cacheField name="[dStores].[Region].[Region]" caption="Region" numFmtId="0" hierarchy="17" level="1">
      <sharedItems count="5">
        <s v="East"/>
        <s v="North East"/>
        <s v="North West"/>
        <s v="South"/>
        <s v="West"/>
      </sharedItems>
    </cacheField>
    <cacheField name="[Measures].[TotalRevenue]" caption="TotalRevenue" numFmtId="0" hierarchy="28"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0"/>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oneField="1">
      <fieldsUsage count="1">
        <fieldUsage x="1"/>
      </fieldsUsage>
    </cacheHierarchy>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8.878768402777" backgroundQuery="1" createdVersion="6" refreshedVersion="6" minRefreshableVersion="3" recordCount="0" supportSubquery="1" supportAdvancedDrill="1" xr:uid="{65746348-4608-44EF-B635-693818EDC3D9}">
  <cacheSource type="external" connectionId="13"/>
  <cacheFields count="3">
    <cacheField name="[Measures].[NoOfSales]" caption="NoOfSales" numFmtId="0" hierarchy="27" level="32767"/>
    <cacheField name="[dProducts].[Value].[Value]" caption="Value" numFmtId="0" hierarchy="13" level="1">
      <sharedItems count="3">
        <s v="Cheap"/>
        <s v="Premium"/>
        <s v="Standard"/>
      </sharedItems>
    </cacheField>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fieldsUsage count="2">
        <fieldUsage x="-1"/>
        <fieldUsage x="1"/>
      </fieldsUsage>
    </cacheHierarchy>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oneField="1">
      <fieldsUsage count="1">
        <fieldUsage x="0"/>
      </fieldsUsage>
    </cacheHierarchy>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8.880394791668" backgroundQuery="1" createdVersion="6" refreshedVersion="6" minRefreshableVersion="3" recordCount="0" supportSubquery="1" supportAdvancedDrill="1" xr:uid="{90835B3C-FDAA-4C74-BBB7-CD1320F350A9}">
  <cacheSource type="external" connectionId="13"/>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Month%TotalRev]" caption="Month%TotalRev" numFmtId="0" hierarchy="33" level="32767"/>
    <cacheField name="[Measures].[TotalRevYTD]" caption="TotalRevYTD" numFmtId="0" hierarchy="31" level="32767"/>
    <cacheField name="[dStores].[Region].[Region]" caption="Region" numFmtId="0" hierarchy="17"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end?]" caption="Weekend?" attribute="1" time="1" defaultMemberUniqueName="[Calendar].[Weekend?].[All]" allUniqueName="[Calendar].[Weekend?].[All]" dimensionUniqueName="[Calendar]" displayFolder="" count="2" memberValueDatatype="130" unbalanced="0"/>
    <cacheHierarchy uniqueName="[dProducts].[Product ID]" caption="Product ID" attribute="1" defaultMemberUniqueName="[dProducts].[Product ID].[All]" allUniqueName="[dProducts].[Product ID].[All]" dimensionUniqueName="[dProducts]" displayFolder="" count="2"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Price]" caption="Price" attribute="1" defaultMemberUniqueName="[dProducts].[Price].[All]" allUniqueName="[dProducts].[Price].[All]" dimensionUniqueName="[dProducts]" displayFolder="" count="2" memberValueDatatype="5"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2" memberValueDatatype="130" unbalanced="0"/>
    <cacheHierarchy uniqueName="[dStores].[Store ID]" caption="Store ID" attribute="1" defaultMemberUniqueName="[dStores].[Store ID].[All]" allUniqueName="[dStores].[Store ID].[All]" dimensionUniqueName="[dStores]" displayFolder="" count="2" memberValueDatatype="130" unbalanced="0"/>
    <cacheHierarchy uniqueName="[dStores].[Store]" caption="Store" attribute="1" defaultMemberUniqueName="[dStores].[Store].[All]" allUniqueName="[dStores].[Store].[All]" dimensionUniqueName="[dStores]" displayFolder="" count="2"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3"/>
      </fieldsUsage>
    </cacheHierarchy>
    <cacheHierarchy uniqueName="[fSales].[Order ID]" caption="Order ID" attribute="1" defaultMemberUniqueName="[fSales].[Order ID].[All]" allUniqueName="[fSales].[Order ID].[All]" dimensionUniqueName="[fSales]" displayFolder="" count="2" memberValueDatatype="20" unbalanced="0"/>
    <cacheHierarchy uniqueName="[fSales].[Order Date]" caption="Order Date" attribute="1" time="1" defaultMemberUniqueName="[fSales].[Order Date].[All]" allUniqueName="[fSales].[Order Date].[All]" dimensionUniqueName="[fSales]" displayFolder="" count="2" memberValueDatatype="7" unbalanced="0"/>
    <cacheHierarchy uniqueName="[fSales].[Units Sold]" caption="Units Sold" attribute="1" defaultMemberUniqueName="[fSales].[Units Sold].[All]" allUniqueName="[fSales].[Units Sold].[All]" dimensionUniqueName="[fSales]" displayFolder="" count="2" memberValueDatatype="20" unbalanced="0"/>
    <cacheHierarchy uniqueName="[dReps].[ID]" caption="ID" attribute="1" defaultMemberUniqueName="[dReps].[ID].[All]" allUniqueName="[dReps].[ID].[All]" dimensionUniqueName="[dReps]" displayFolder="" count="2" memberValueDatatype="130" unbalanced="0" hidden="1"/>
    <cacheHierarchy uniqueName="[fSales].[Product]" caption="Product" attribute="1" defaultMemberUniqueName="[fSales].[Product].[All]" allUniqueName="[fSales].[Product].[All]" dimensionUniqueName="[fSales]" displayFolder="" count="2" memberValueDatatype="130" unbalanced="0" hidden="1"/>
    <cacheHierarchy uniqueName="[fSales].[SP ID]" caption="SP ID" attribute="1" defaultMemberUniqueName="[fSales].[SP ID].[All]" allUniqueName="[fSales].[SP ID].[All]" dimensionUniqueName="[fSales]" displayFolder="" count="2" memberValueDatatype="130" unbalanced="0" hidden="1"/>
    <cacheHierarchy uniqueName="[fSales].[Store]" caption="Store" attribute="1" defaultMemberUniqueName="[fSales].[Store].[All]" allUniqueName="[fSales].[Store].[All]" dimensionUniqueName="[fSales]" displayFolder="" count="2"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oneField="1">
      <fieldsUsage count="1">
        <fieldUsage x="2"/>
      </fieldsUsage>
    </cacheHierarchy>
    <cacheHierarchy uniqueName="[Measures].[TotalRevAllMonths]" caption="TotalRevAllMonths" measure="1" displayFolder="" measureGroup="fSales" count="0"/>
    <cacheHierarchy uniqueName="[Measures].[Month%TotalRev]" caption="Month%TotalRev" measure="1" displayFolder="" measureGroup="fSales" count="0" oneField="1">
      <fieldsUsage count="1">
        <fieldUsage x="1"/>
      </fieldsUsage>
    </cacheHierarchy>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8.880395370368" backgroundQuery="1" createdVersion="6" refreshedVersion="6" minRefreshableVersion="3" recordCount="0" supportSubquery="1" supportAdvancedDrill="1" xr:uid="{9AF443A5-7797-448A-81B8-C1492B710217}">
  <cacheSource type="external" connectionId="13"/>
  <cacheFields count="3">
    <cacheField name="[dProducts].[Product].[Product]" caption="Product" numFmtId="0" hierarchy="10" level="1">
      <sharedItems count="10">
        <s v="Baguette"/>
        <s v="Beer"/>
        <s v="Blueberry Muffin"/>
        <s v="Chocolate Chip Muffin"/>
        <s v="Croissant"/>
        <s v="Jacket Potato"/>
        <s v="Samosa"/>
        <s v="Sandwich"/>
        <s v="Soup"/>
        <s v="Wine"/>
      </sharedItems>
    </cacheField>
    <cacheField name="[Measures].[TotalRevenue]" caption="TotalRevenue" numFmtId="0" hierarchy="28" level="32767"/>
    <cacheField name="[dStores].[Region].[Region]" caption="Region" numFmtId="0" hierarchy="17"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end?]" caption="Weekend?" attribute="1" time="1" defaultMemberUniqueName="[Calendar].[Weekend?].[All]" allUniqueName="[Calendar].[Weekend?].[All]" dimensionUniqueName="[Calendar]" displayFolder="" count="2" memberValueDatatype="130" unbalanced="0"/>
    <cacheHierarchy uniqueName="[dProducts].[Product ID]" caption="Product ID" attribute="1" defaultMemberUniqueName="[dProducts].[Product ID].[All]" allUniqueName="[dProducts].[Product ID].[All]" dimensionUniqueName="[dProducts]" displayFolder="" count="2" memberValueDatatype="130" unbalanced="0"/>
    <cacheHierarchy uniqueName="[dProducts].[Product]" caption="Product" attribute="1" defaultMemberUniqueName="[dProducts].[Product].[All]" allUniqueName="[dProducts].[Product].[All]" dimensionUniqueName="[dProducts]" displayFolder="" count="2" memberValueDatatype="130" unbalanced="0">
      <fieldsUsage count="2">
        <fieldUsage x="-1"/>
        <fieldUsage x="0"/>
      </fieldsUsage>
    </cacheHierarchy>
    <cacheHierarchy uniqueName="[dProducts].[Price]" caption="Price" attribute="1" defaultMemberUniqueName="[dProducts].[Price].[All]" allUniqueName="[dProducts].[Price].[All]" dimensionUniqueName="[dProducts]" displayFolder="" count="2" memberValueDatatype="5"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2" memberValueDatatype="130" unbalanced="0"/>
    <cacheHierarchy uniqueName="[dStores].[Store ID]" caption="Store ID" attribute="1" defaultMemberUniqueName="[dStores].[Store ID].[All]" allUniqueName="[dStores].[Store ID].[All]" dimensionUniqueName="[dStores]" displayFolder="" count="2" memberValueDatatype="130" unbalanced="0"/>
    <cacheHierarchy uniqueName="[dStores].[Store]" caption="Store" attribute="1" defaultMemberUniqueName="[dStores].[Store].[All]" allUniqueName="[dStores].[Store].[All]" dimensionUniqueName="[dStores]" displayFolder="" count="2"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2"/>
      </fieldsUsage>
    </cacheHierarchy>
    <cacheHierarchy uniqueName="[fSales].[Order ID]" caption="Order ID" attribute="1" defaultMemberUniqueName="[fSales].[Order ID].[All]" allUniqueName="[fSales].[Order ID].[All]" dimensionUniqueName="[fSales]" displayFolder="" count="2" memberValueDatatype="20" unbalanced="0"/>
    <cacheHierarchy uniqueName="[fSales].[Order Date]" caption="Order Date" attribute="1" time="1" defaultMemberUniqueName="[fSales].[Order Date].[All]" allUniqueName="[fSales].[Order Date].[All]" dimensionUniqueName="[fSales]" displayFolder="" count="2" memberValueDatatype="7" unbalanced="0"/>
    <cacheHierarchy uniqueName="[fSales].[Units Sold]" caption="Units Sold" attribute="1" defaultMemberUniqueName="[fSales].[Units Sold].[All]" allUniqueName="[fSales].[Units Sold].[All]" dimensionUniqueName="[fSales]" displayFolder="" count="2" memberValueDatatype="20" unbalanced="0"/>
    <cacheHierarchy uniqueName="[dReps].[ID]" caption="ID" attribute="1" defaultMemberUniqueName="[dReps].[ID].[All]" allUniqueName="[dReps].[ID].[All]" dimensionUniqueName="[dReps]" displayFolder="" count="2" memberValueDatatype="130" unbalanced="0" hidden="1"/>
    <cacheHierarchy uniqueName="[fSales].[Product]" caption="Product" attribute="1" defaultMemberUniqueName="[fSales].[Product].[All]" allUniqueName="[fSales].[Product].[All]" dimensionUniqueName="[fSales]" displayFolder="" count="2" memberValueDatatype="130" unbalanced="0" hidden="1"/>
    <cacheHierarchy uniqueName="[fSales].[SP ID]" caption="SP ID" attribute="1" defaultMemberUniqueName="[fSales].[SP ID].[All]" allUniqueName="[fSales].[SP ID].[All]" dimensionUniqueName="[fSales]" displayFolder="" count="2" memberValueDatatype="130" unbalanced="0" hidden="1"/>
    <cacheHierarchy uniqueName="[fSales].[Store]" caption="Store" attribute="1" defaultMemberUniqueName="[fSales].[Store].[All]" allUniqueName="[fSales].[Store].[All]" dimensionUniqueName="[fSales]" displayFolder="" count="2"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oneField="1">
      <fieldsUsage count="1">
        <fieldUsage x="1"/>
      </fieldsUsage>
    </cacheHierarchy>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59988657408" backgroundQuery="1" createdVersion="3" refreshedVersion="6" minRefreshableVersion="3" recordCount="0" supportSubquery="1" supportAdvancedDrill="1" xr:uid="{8F583CCF-A727-40AC-A93B-D689BD80EBBE}">
  <cacheSource type="external" connectionId="1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5127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3AAFA-E3D5-47C6-96A1-71D6C781BD14}" name="WeekendSummary" cacheId="491" applyNumberFormats="0" applyBorderFormats="0" applyFontFormats="0" applyPatternFormats="0" applyAlignmentFormats="0" applyWidthHeightFormats="1" dataCaption="Values" tag="8457d674-9bb2-4575-9297-06351c2d1bed" updatedVersion="6" minRefreshableVersion="3" useAutoFormatting="1" itemPrintTitles="1" createdVersion="6" indent="0" multipleFieldFilters="0" chartFormat="2">
  <location ref="A19:B20" firstHeaderRow="0" firstDataRow="1" firstDataCol="0"/>
  <pivotFields count="3">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EB138-3F31-4D49-8679-2E1004992712}" name="SalesByValue" cacheId="594" applyNumberFormats="0" applyBorderFormats="0" applyFontFormats="0" applyPatternFormats="0" applyAlignmentFormats="0" applyWidthHeightFormats="1" dataCaption="Values" tag="8457d674-9bb2-4575-9297-06351c2d1bed" updatedVersion="6" minRefreshableVersion="3" useAutoFormatting="1" itemPrintTitles="1" createdVersion="6" indent="0" multipleFieldFilters="0" chartFormat="2">
  <location ref="A11:B15" firstHeaderRow="1" firstDataRow="1" firstDataCol="1"/>
  <pivotFields count="3">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1"/>
  </rowFields>
  <rowItems count="4">
    <i>
      <x/>
    </i>
    <i>
      <x v="1"/>
    </i>
    <i>
      <x v="2"/>
    </i>
    <i t="grand">
      <x/>
    </i>
  </rowItems>
  <colItems count="1">
    <i/>
  </colItems>
  <dataFields count="1">
    <dataFiel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3F16D-07FD-40D8-888D-436DFC772B2F}" name="SalesByRegion" cacheId="591" applyNumberFormats="0" applyBorderFormats="0" applyFontFormats="0" applyPatternFormats="0" applyAlignmentFormats="0" applyWidthHeightFormats="1" dataCaption="Values" tag="4a39c2e8-cd0d-40bc-9e31-6eae3e287a52" updatedVersion="6" minRefreshableVersion="3" useAutoFormatting="1" itemPrintTitles="1" createdVersion="6" indent="0" multipleFieldFilters="0" chartFormat="2">
  <location ref="A1:B7" firstHeaderRow="1" firstDataRow="1" firstDataCol="1"/>
  <pivotFields count="3">
    <pivotField axis="axisRow" allDrilled="1" showAll="0" dataSourceSort="1" defaultAttributeDrillState="1">
      <items count="6">
        <item x="0"/>
        <item x="1"/>
        <item x="2"/>
        <item x="3"/>
        <item x="4"/>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Items count="1">
    <i/>
  </colItems>
  <dataFields count="1">
    <dataFiel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AE5808-07EA-42AF-A3D8-3ADFEF1B6070}" name="Top10Products" cacheId="654" applyNumberFormats="0" applyBorderFormats="0" applyFontFormats="0" applyPatternFormats="0" applyAlignmentFormats="0" applyWidthHeightFormats="1" dataCaption="Values" tag="03879189-b2b8-4f38-89f7-7e8e2f3fa3c7" updatedVersion="6" minRefreshableVersion="3" subtotalHiddenItems="1" itemPrintTitles="1" createdVersion="6" indent="0" showHeaders="0" multipleFieldFilters="0">
  <location ref="H22:I33"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11">
    <i>
      <x v="5"/>
    </i>
    <i>
      <x/>
    </i>
    <i>
      <x v="9"/>
    </i>
    <i>
      <x v="8"/>
    </i>
    <i>
      <x v="2"/>
    </i>
    <i>
      <x v="7"/>
    </i>
    <i>
      <x v="1"/>
    </i>
    <i>
      <x v="6"/>
    </i>
    <i>
      <x v="3"/>
    </i>
    <i>
      <x v="4"/>
    </i>
    <i t="grand">
      <x/>
    </i>
  </rowItems>
  <colItems count="1">
    <i/>
  </colItems>
  <dataFields count="1">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Stores].[Region].&amp;[North Wes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1"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1C53A9-8CB9-456E-AC81-4A9793601D5A}" name="PivotTable3" cacheId="651" applyNumberFormats="0" applyBorderFormats="0" applyFontFormats="0" applyPatternFormats="0" applyAlignmentFormats="0" applyWidthHeightFormats="1" dataCaption="Values" tag="03879189-b2b8-4f38-89f7-7e8e2f3fa3c7" updatedVersion="6" minRefreshableVersion="3" useAutoFormatting="1" subtotalHiddenItems="1" itemPrintTitles="1" createdVersion="6" indent="0" showHeaders="0" multipleFieldFilters="0">
  <location ref="A22:C35" firstHeaderRow="0" firstDataRow="1" firstDataCol="1"/>
  <pivotFields count="4">
    <pivotField axis="axisRow" allDrilled="1" showAll="0" dataSourceSort="1" defaultAttributeDrillState="1">
      <items count="13">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Stores].[Region].&amp;[North Wes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1"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2D503E8A-D51A-4EAB-BED1-BA342B8CFE0E}" sourceName="[Calendar].[Weekend?]">
  <pivotTables>
    <pivotTable tabId="2" name="PivotTable3"/>
    <pivotTable tabId="1" name="SalesByRegion"/>
    <pivotTable tabId="1" name="SalesByValue"/>
    <pivotTable tabId="2" name="Top10Products"/>
  </pivotTables>
  <data>
    <olap pivotCacheId="765127281">
      <levels count="2">
        <level uniqueName="[Calendar].[Weekend?].[(All)]" sourceCaption="(All)" count="0"/>
        <level uniqueName="[Calendar].[Weekend?].[Weekend?]" sourceCaption="Weekend?" count="2">
          <ranges>
            <range startItem="0">
              <i n="[Calendar].[Weekend?].&amp;[No]" c="No"/>
              <i n="[Calendar].[Weekend?].&amp;[Yes]" c="Yes"/>
            </range>
          </ranges>
        </level>
      </levels>
      <selections count="1">
        <selection n="[Calendar].[Weeke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697B09-25DD-4187-91FA-686724D00245}" sourceName="[dStores].[Region]">
  <pivotTables>
    <pivotTable tabId="2" name="PivotTable3"/>
    <pivotTable tabId="2" name="Top10Products"/>
  </pivotTables>
  <data>
    <olap pivotCacheId="765127281">
      <levels count="2">
        <level uniqueName="[dStores].[Region].[(All)]" sourceCaption="(All)" count="0"/>
        <level uniqueName="[dStores].[Region].[Region]" sourceCaption="Region" count="5">
          <ranges>
            <range startItem="0">
              <i n="[dStores].[Region].&amp;[East]" c="East"/>
              <i n="[dStores].[Region].&amp;[North East]" c="North East"/>
              <i n="[dStores].[Region].&amp;[North West]" c="North West"/>
              <i n="[dStores].[Region].&amp;[South]" c="South"/>
              <i n="[dStores].[Region].&amp;[West]" c="West"/>
            </range>
          </ranges>
        </level>
      </levels>
      <selections count="1">
        <selection n="[dStores].[Region].&amp;[North 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xr10:uid="{430F7373-9EDC-41E7-B8F7-BAAACF934753}" cache="Slicer_Weekend?" caption="Weekend?" level="1" rowHeight="241300"/>
  <slicer name="Region" xr10:uid="{53E52985-6860-409D-8453-0A9C3C41F4AA}" cache="Slicer_Region" caption="Region" level="1"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A86F-D1C9-4437-95F2-9512A2D9BADE}">
  <dimension ref="A1:D20"/>
  <sheetViews>
    <sheetView zoomScaleNormal="100" workbookViewId="0">
      <selection activeCell="A20" sqref="A20"/>
    </sheetView>
  </sheetViews>
  <sheetFormatPr defaultRowHeight="15" x14ac:dyDescent="0.25"/>
  <cols>
    <col min="1" max="1" width="13.140625" bestFit="1" customWidth="1"/>
    <col min="2" max="2" width="10.28515625" bestFit="1" customWidth="1"/>
    <col min="3" max="5" width="18.28515625" bestFit="1" customWidth="1"/>
    <col min="6" max="6" width="4.140625" bestFit="1" customWidth="1"/>
    <col min="7" max="7" width="7.28515625" bestFit="1" customWidth="1"/>
    <col min="8" max="8" width="13.42578125" bestFit="1" customWidth="1"/>
    <col min="9" max="9" width="10.140625" bestFit="1" customWidth="1"/>
    <col min="10" max="10" width="11.140625" bestFit="1" customWidth="1"/>
    <col min="11" max="11" width="15.140625" bestFit="1" customWidth="1"/>
    <col min="12" max="12" width="15.28515625" bestFit="1" customWidth="1"/>
    <col min="13" max="13" width="18.42578125" bestFit="1" customWidth="1"/>
  </cols>
  <sheetData>
    <row r="1" spans="1:4" x14ac:dyDescent="0.25">
      <c r="A1" s="1" t="s">
        <v>0</v>
      </c>
      <c r="B1" t="s">
        <v>11</v>
      </c>
    </row>
    <row r="2" spans="1:4" x14ac:dyDescent="0.25">
      <c r="A2" s="2" t="s">
        <v>1</v>
      </c>
      <c r="B2" s="19">
        <v>99635.300000000017</v>
      </c>
    </row>
    <row r="3" spans="1:4" x14ac:dyDescent="0.25">
      <c r="A3" s="2" t="s">
        <v>2</v>
      </c>
      <c r="B3" s="19">
        <v>77593.299999999988</v>
      </c>
    </row>
    <row r="4" spans="1:4" x14ac:dyDescent="0.25">
      <c r="A4" s="2" t="s">
        <v>3</v>
      </c>
      <c r="B4" s="19">
        <v>121206.20000000017</v>
      </c>
      <c r="D4" t="str">
        <f>"Total Revenue: "&amp;TEXT(GETPIVOTDATA("[Measures].[TotalRevenue]",$A$1),"£#,#.00")</f>
        <v>Total Revenue: £552,788.10</v>
      </c>
    </row>
    <row r="5" spans="1:4" x14ac:dyDescent="0.25">
      <c r="A5" s="2" t="s">
        <v>4</v>
      </c>
      <c r="B5" s="19">
        <v>134391.09999999995</v>
      </c>
    </row>
    <row r="6" spans="1:4" x14ac:dyDescent="0.25">
      <c r="A6" s="2" t="s">
        <v>5</v>
      </c>
      <c r="B6" s="19">
        <v>119962.20000000019</v>
      </c>
    </row>
    <row r="7" spans="1:4" x14ac:dyDescent="0.25">
      <c r="A7" s="2" t="s">
        <v>6</v>
      </c>
      <c r="B7" s="19">
        <v>552788.1</v>
      </c>
    </row>
    <row r="11" spans="1:4" x14ac:dyDescent="0.25">
      <c r="A11" s="1" t="s">
        <v>0</v>
      </c>
      <c r="B11" t="s">
        <v>10</v>
      </c>
    </row>
    <row r="12" spans="1:4" x14ac:dyDescent="0.25">
      <c r="A12" s="2" t="s">
        <v>7</v>
      </c>
      <c r="B12" s="3">
        <v>585</v>
      </c>
      <c r="D12" t="str">
        <f>"Total No of Sales: "&amp;TEXT(GETPIVOTDATA("[Measures].[NoOfSales]",$A$11),"#,#")</f>
        <v>Total No of Sales: 9,020</v>
      </c>
    </row>
    <row r="13" spans="1:4" x14ac:dyDescent="0.25">
      <c r="A13" s="2" t="s">
        <v>8</v>
      </c>
      <c r="B13" s="3">
        <v>2255</v>
      </c>
    </row>
    <row r="14" spans="1:4" x14ac:dyDescent="0.25">
      <c r="A14" s="2" t="s">
        <v>9</v>
      </c>
      <c r="B14" s="3">
        <v>6180</v>
      </c>
    </row>
    <row r="15" spans="1:4" x14ac:dyDescent="0.25">
      <c r="A15" s="2" t="s">
        <v>6</v>
      </c>
      <c r="B15" s="3">
        <v>9020</v>
      </c>
    </row>
    <row r="19" spans="1:2" x14ac:dyDescent="0.25">
      <c r="A19" t="s">
        <v>12</v>
      </c>
      <c r="B19" t="s">
        <v>13</v>
      </c>
    </row>
    <row r="20" spans="1:2" x14ac:dyDescent="0.25">
      <c r="A20" s="6">
        <v>215765.89999999997</v>
      </c>
      <c r="B20" s="4">
        <v>0.3903229827125439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E8D1-BD82-4006-BE70-3087A4444E7F}">
  <dimension ref="A2:I35"/>
  <sheetViews>
    <sheetView tabSelected="1" workbookViewId="0">
      <selection activeCell="B24" sqref="B24"/>
    </sheetView>
  </sheetViews>
  <sheetFormatPr defaultRowHeight="15" x14ac:dyDescent="0.25"/>
  <cols>
    <col min="1" max="1" width="11.28515625" bestFit="1" customWidth="1"/>
    <col min="2" max="2" width="16.42578125" bestFit="1" customWidth="1"/>
    <col min="3" max="3" width="12.140625" bestFit="1" customWidth="1"/>
    <col min="5" max="5" width="11.5703125" customWidth="1"/>
    <col min="8" max="8" width="21" bestFit="1" customWidth="1"/>
    <col min="9" max="9" width="13.42578125" bestFit="1" customWidth="1"/>
    <col min="10" max="10" width="12.140625" bestFit="1" customWidth="1"/>
  </cols>
  <sheetData>
    <row r="2" spans="4:9" ht="15.75" x14ac:dyDescent="0.25">
      <c r="D2" s="5" t="s">
        <v>28</v>
      </c>
      <c r="H2" s="5" t="s">
        <v>29</v>
      </c>
    </row>
    <row r="3" spans="4:9" x14ac:dyDescent="0.25">
      <c r="D3" s="7">
        <f>GETPIVOTDATA("[Measures].[TotalRevWeekend]",Sheet1!$A$19)</f>
        <v>215765.89999999997</v>
      </c>
      <c r="E3" s="8"/>
      <c r="H3" s="13">
        <f>GETPIVOTDATA("[Measures].[TotalRev%Weekend]",Sheet1!$A$19)</f>
        <v>0.3903229827125439</v>
      </c>
      <c r="I3" s="14"/>
    </row>
    <row r="4" spans="4:9" x14ac:dyDescent="0.25">
      <c r="D4" s="9"/>
      <c r="E4" s="10"/>
      <c r="H4" s="15"/>
      <c r="I4" s="16"/>
    </row>
    <row r="5" spans="4:9" x14ac:dyDescent="0.25">
      <c r="D5" s="11"/>
      <c r="E5" s="12"/>
      <c r="H5" s="17"/>
      <c r="I5" s="18"/>
    </row>
    <row r="22" spans="1:9" x14ac:dyDescent="0.25">
      <c r="B22" t="s">
        <v>26</v>
      </c>
      <c r="C22" t="s">
        <v>27</v>
      </c>
      <c r="I22" t="s">
        <v>11</v>
      </c>
    </row>
    <row r="23" spans="1:9" x14ac:dyDescent="0.25">
      <c r="A23" s="2" t="s">
        <v>14</v>
      </c>
      <c r="B23" s="4">
        <v>6.75526499469499E-2</v>
      </c>
      <c r="C23" s="19">
        <v>8187.8</v>
      </c>
      <c r="H23" s="2" t="s">
        <v>35</v>
      </c>
      <c r="I23" s="19">
        <v>29481.599999999995</v>
      </c>
    </row>
    <row r="24" spans="1:9" x14ac:dyDescent="0.25">
      <c r="A24" s="2" t="s">
        <v>15</v>
      </c>
      <c r="B24" s="4">
        <v>5.7426105265242215E-2</v>
      </c>
      <c r="C24" s="19">
        <v>15148.199999999999</v>
      </c>
      <c r="H24" s="2" t="s">
        <v>30</v>
      </c>
      <c r="I24" s="19">
        <v>26123.999999999978</v>
      </c>
    </row>
    <row r="25" spans="1:9" x14ac:dyDescent="0.25">
      <c r="A25" s="2" t="s">
        <v>16</v>
      </c>
      <c r="B25" s="4">
        <v>9.7570916339263208E-2</v>
      </c>
      <c r="C25" s="19">
        <v>26974.399999999987</v>
      </c>
      <c r="H25" s="2" t="s">
        <v>39</v>
      </c>
      <c r="I25" s="19">
        <v>14751.000000000002</v>
      </c>
    </row>
    <row r="26" spans="1:9" x14ac:dyDescent="0.25">
      <c r="A26" s="2" t="s">
        <v>17</v>
      </c>
      <c r="B26" s="4">
        <v>7.0202679400888757E-2</v>
      </c>
      <c r="C26" s="19">
        <v>35483.399999999987</v>
      </c>
      <c r="H26" s="2" t="s">
        <v>38</v>
      </c>
      <c r="I26" s="19">
        <v>10334</v>
      </c>
    </row>
    <row r="27" spans="1:9" x14ac:dyDescent="0.25">
      <c r="A27" s="2" t="s">
        <v>18</v>
      </c>
      <c r="B27" s="4">
        <v>7.6315403007436916E-2</v>
      </c>
      <c r="C27" s="19">
        <v>44733.299999999988</v>
      </c>
      <c r="H27" s="2" t="s">
        <v>32</v>
      </c>
      <c r="I27" s="19">
        <v>5945.7999999999993</v>
      </c>
    </row>
    <row r="28" spans="1:9" x14ac:dyDescent="0.25">
      <c r="A28" s="2" t="s">
        <v>19</v>
      </c>
      <c r="B28" s="4">
        <v>0.10572973989779398</v>
      </c>
      <c r="C28" s="19">
        <v>57548.399999999994</v>
      </c>
      <c r="H28" s="2" t="s">
        <v>37</v>
      </c>
      <c r="I28" s="19">
        <v>4593.5999999999985</v>
      </c>
    </row>
    <row r="29" spans="1:9" x14ac:dyDescent="0.25">
      <c r="A29" s="2" t="s">
        <v>20</v>
      </c>
      <c r="B29" s="4">
        <v>0.11368395346112661</v>
      </c>
      <c r="C29" s="19">
        <v>71327.599999999991</v>
      </c>
      <c r="H29" s="2" t="s">
        <v>31</v>
      </c>
      <c r="I29" s="19">
        <v>4563</v>
      </c>
    </row>
    <row r="30" spans="1:9" x14ac:dyDescent="0.25">
      <c r="A30" s="2" t="s">
        <v>21</v>
      </c>
      <c r="B30" s="4">
        <v>0.1005757131235861</v>
      </c>
      <c r="C30" s="19">
        <v>83518</v>
      </c>
      <c r="H30" s="2" t="s">
        <v>36</v>
      </c>
      <c r="I30" s="19">
        <v>4210</v>
      </c>
    </row>
    <row r="31" spans="1:9" x14ac:dyDescent="0.25">
      <c r="A31" s="2" t="s">
        <v>22</v>
      </c>
      <c r="B31" s="4">
        <v>0.14534982533896781</v>
      </c>
      <c r="C31" s="19">
        <v>101135.30000000002</v>
      </c>
      <c r="H31" s="2" t="s">
        <v>33</v>
      </c>
      <c r="I31" s="19">
        <v>4110.3999999999987</v>
      </c>
    </row>
    <row r="32" spans="1:9" x14ac:dyDescent="0.25">
      <c r="A32" s="2" t="s">
        <v>23</v>
      </c>
      <c r="B32" s="4">
        <v>6.6554351180055191E-2</v>
      </c>
      <c r="C32" s="19">
        <v>109202.10000000003</v>
      </c>
      <c r="H32" s="2" t="s">
        <v>34</v>
      </c>
      <c r="I32" s="19">
        <v>3372.8000000000006</v>
      </c>
    </row>
    <row r="33" spans="1:9" x14ac:dyDescent="0.25">
      <c r="A33" s="2" t="s">
        <v>24</v>
      </c>
      <c r="B33" s="4">
        <v>4.2487100494859181E-2</v>
      </c>
      <c r="C33" s="19">
        <v>114351.80000000006</v>
      </c>
      <c r="H33" s="2" t="s">
        <v>6</v>
      </c>
      <c r="I33" s="19">
        <v>107486.19999999998</v>
      </c>
    </row>
    <row r="34" spans="1:9" x14ac:dyDescent="0.25">
      <c r="A34" s="2" t="s">
        <v>25</v>
      </c>
      <c r="B34" s="4">
        <v>5.6551562543830272E-2</v>
      </c>
      <c r="C34" s="19">
        <v>121206.20000000006</v>
      </c>
    </row>
    <row r="35" spans="1:9" x14ac:dyDescent="0.25">
      <c r="A35" s="2" t="s">
        <v>6</v>
      </c>
      <c r="B35" s="4">
        <v>1</v>
      </c>
      <c r="C35" s="19">
        <v>121206.19999999998</v>
      </c>
    </row>
  </sheetData>
  <mergeCells count="2">
    <mergeCell ref="D3:E5"/>
    <mergeCell ref="H3:I5"/>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16E386EA-EA1C-455A-956B-1861508FE93B}">
  <ds:schemaRefs/>
</ds:datastoreItem>
</file>

<file path=customXml/itemProps2.xml><?xml version="1.0" encoding="utf-8"?>
<ds:datastoreItem xmlns:ds="http://schemas.openxmlformats.org/officeDocument/2006/customXml" ds:itemID="{C20AD9DE-81E8-404E-8D2F-3BC03421BEDD}">
  <ds:schemaRefs/>
</ds:datastoreItem>
</file>

<file path=customXml/itemProps3.xml><?xml version="1.0" encoding="utf-8"?>
<ds:datastoreItem xmlns:ds="http://schemas.openxmlformats.org/officeDocument/2006/customXml" ds:itemID="{151A220F-1542-4E34-A941-92DA2434760A}">
  <ds:schemaRefs/>
</ds:datastoreItem>
</file>

<file path=customXml/itemProps4.xml><?xml version="1.0" encoding="utf-8"?>
<ds:datastoreItem xmlns:ds="http://schemas.openxmlformats.org/officeDocument/2006/customXml" ds:itemID="{9E88222D-BEA6-4381-BE2B-96F82D2FDDF1}">
  <ds:schemaRefs/>
</ds:datastoreItem>
</file>

<file path=customXml/itemProps5.xml><?xml version="1.0" encoding="utf-8"?>
<ds:datastoreItem xmlns:ds="http://schemas.openxmlformats.org/officeDocument/2006/customXml" ds:itemID="{D50554C0-BF68-4CBA-96ED-67CADB9AB93D}">
  <ds:schemaRefs/>
</ds:datastoreItem>
</file>

<file path=customXml/itemProps6.xml><?xml version="1.0" encoding="utf-8"?>
<ds:datastoreItem xmlns:ds="http://schemas.openxmlformats.org/officeDocument/2006/customXml" ds:itemID="{F14377B2-DBAF-48C0-B0DF-4BCEEC4FBC69}">
  <ds:schemaRefs/>
</ds:datastoreItem>
</file>

<file path=customXml/itemProps7.xml><?xml version="1.0" encoding="utf-8"?>
<ds:datastoreItem xmlns:ds="http://schemas.openxmlformats.org/officeDocument/2006/customXml" ds:itemID="{2483E0BF-2A58-4232-BD83-8D347F8C28EA}">
  <ds:schemaRefs/>
</ds:datastoreItem>
</file>

<file path=customXml/itemProps8.xml><?xml version="1.0" encoding="utf-8"?>
<ds:datastoreItem xmlns:ds="http://schemas.openxmlformats.org/officeDocument/2006/customXml" ds:itemID="{262E0792-C56C-4CFA-A276-5BBAE7884C1E}">
  <ds:schemaRefs/>
</ds:datastoreItem>
</file>

<file path=customXml/itemProps9.xml><?xml version="1.0" encoding="utf-8"?>
<ds:datastoreItem xmlns:ds="http://schemas.openxmlformats.org/officeDocument/2006/customXml" ds:itemID="{767F9032-85E4-40EA-B341-BDAA4A16578A}">
  <ds:schemaRefs/>
</ds:datastoreItem>
</file>

<file path=customXml/itemProps10.xml><?xml version="1.0" encoding="utf-8"?>
<ds:datastoreItem xmlns:ds="http://schemas.openxmlformats.org/officeDocument/2006/customXml" ds:itemID="{4391F69B-2B84-4215-B390-EBADD9BD40A6}">
  <ds:schemaRefs/>
</ds:datastoreItem>
</file>

<file path=customXml/itemProps11.xml><?xml version="1.0" encoding="utf-8"?>
<ds:datastoreItem xmlns:ds="http://schemas.openxmlformats.org/officeDocument/2006/customXml" ds:itemID="{A245BCC7-3FEE-4409-8128-2F42610B5363}">
  <ds:schemaRefs/>
</ds:datastoreItem>
</file>

<file path=customXml/itemProps12.xml><?xml version="1.0" encoding="utf-8"?>
<ds:datastoreItem xmlns:ds="http://schemas.openxmlformats.org/officeDocument/2006/customXml" ds:itemID="{1B612789-4849-42C2-BC76-326EACB7C592}">
  <ds:schemaRefs>
    <ds:schemaRef ds:uri="http://schemas.microsoft.com/DataMashup"/>
  </ds:schemaRefs>
</ds:datastoreItem>
</file>

<file path=customXml/itemProps13.xml><?xml version="1.0" encoding="utf-8"?>
<ds:datastoreItem xmlns:ds="http://schemas.openxmlformats.org/officeDocument/2006/customXml" ds:itemID="{C0A279DC-E14E-4D2D-919E-8E44FC9DBFCA}">
  <ds:schemaRefs/>
</ds:datastoreItem>
</file>

<file path=customXml/itemProps14.xml><?xml version="1.0" encoding="utf-8"?>
<ds:datastoreItem xmlns:ds="http://schemas.openxmlformats.org/officeDocument/2006/customXml" ds:itemID="{36A5E408-F7EF-45FC-A621-768CA4BAF6F8}">
  <ds:schemaRefs/>
</ds:datastoreItem>
</file>

<file path=customXml/itemProps15.xml><?xml version="1.0" encoding="utf-8"?>
<ds:datastoreItem xmlns:ds="http://schemas.openxmlformats.org/officeDocument/2006/customXml" ds:itemID="{3B0C0EDD-CA07-4A12-817D-E632FC5662D7}">
  <ds:schemaRefs/>
</ds:datastoreItem>
</file>

<file path=customXml/itemProps16.xml><?xml version="1.0" encoding="utf-8"?>
<ds:datastoreItem xmlns:ds="http://schemas.openxmlformats.org/officeDocument/2006/customXml" ds:itemID="{53085FC9-B16B-47A4-A944-B4763DFE57F0}">
  <ds:schemaRefs/>
</ds:datastoreItem>
</file>

<file path=customXml/itemProps17.xml><?xml version="1.0" encoding="utf-8"?>
<ds:datastoreItem xmlns:ds="http://schemas.openxmlformats.org/officeDocument/2006/customXml" ds:itemID="{2B4065A5-1EFC-4D32-8CAA-D1C78E523EF1}">
  <ds:schemaRefs/>
</ds:datastoreItem>
</file>

<file path=customXml/itemProps18.xml><?xml version="1.0" encoding="utf-8"?>
<ds:datastoreItem xmlns:ds="http://schemas.openxmlformats.org/officeDocument/2006/customXml" ds:itemID="{FF16A475-F187-409C-BF3E-8AB2758A0AC5}">
  <ds:schemaRefs/>
</ds:datastoreItem>
</file>

<file path=customXml/itemProps19.xml><?xml version="1.0" encoding="utf-8"?>
<ds:datastoreItem xmlns:ds="http://schemas.openxmlformats.org/officeDocument/2006/customXml" ds:itemID="{99241ABC-D729-4AAE-9F9D-AA07CF9772BA}">
  <ds:schemaRefs/>
</ds:datastoreItem>
</file>

<file path=customXml/itemProps20.xml><?xml version="1.0" encoding="utf-8"?>
<ds:datastoreItem xmlns:ds="http://schemas.openxmlformats.org/officeDocument/2006/customXml" ds:itemID="{D1B56298-55F7-4154-9FEE-7901E5D51E7B}">
  <ds:schemaRefs/>
</ds:datastoreItem>
</file>

<file path=customXml/itemProps21.xml><?xml version="1.0" encoding="utf-8"?>
<ds:datastoreItem xmlns:ds="http://schemas.openxmlformats.org/officeDocument/2006/customXml" ds:itemID="{23CB04D6-D5B4-4A28-99F4-B993E3E25571}">
  <ds:schemaRefs/>
</ds:datastoreItem>
</file>

<file path=customXml/itemProps22.xml><?xml version="1.0" encoding="utf-8"?>
<ds:datastoreItem xmlns:ds="http://schemas.openxmlformats.org/officeDocument/2006/customXml" ds:itemID="{D0080514-D615-487E-90D9-171FDDDA896E}">
  <ds:schemaRefs/>
</ds:datastoreItem>
</file>

<file path=customXml/itemProps23.xml><?xml version="1.0" encoding="utf-8"?>
<ds:datastoreItem xmlns:ds="http://schemas.openxmlformats.org/officeDocument/2006/customXml" ds:itemID="{034288D3-31AF-47C2-9CA6-6C8CE82C2107}">
  <ds:schemaRefs/>
</ds:datastoreItem>
</file>

<file path=customXml/itemProps24.xml><?xml version="1.0" encoding="utf-8"?>
<ds:datastoreItem xmlns:ds="http://schemas.openxmlformats.org/officeDocument/2006/customXml" ds:itemID="{9805EEF9-AE9A-4DA8-9287-71353EB087D0}">
  <ds:schemaRefs/>
</ds:datastoreItem>
</file>

<file path=customXml/itemProps25.xml><?xml version="1.0" encoding="utf-8"?>
<ds:datastoreItem xmlns:ds="http://schemas.openxmlformats.org/officeDocument/2006/customXml" ds:itemID="{EA453B82-9C94-40B4-861A-BE48EC3AA3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Murray</dc:creator>
  <cp:lastModifiedBy>Alan Murray</cp:lastModifiedBy>
  <dcterms:created xsi:type="dcterms:W3CDTF">2020-03-11T13:12:11Z</dcterms:created>
  <dcterms:modified xsi:type="dcterms:W3CDTF">2020-03-28T21:17:55Z</dcterms:modified>
</cp:coreProperties>
</file>